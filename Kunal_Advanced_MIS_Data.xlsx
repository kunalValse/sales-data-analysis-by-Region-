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Shubham Chougule\Downloads\"/>
    </mc:Choice>
  </mc:AlternateContent>
  <xr:revisionPtr revIDLastSave="0" documentId="13_ncr:1_{6DE56E75-F8D7-4840-AF0A-F5ACC706EF66}" xr6:coauthVersionLast="47" xr6:coauthVersionMax="47" xr10:uidLastSave="{00000000-0000-0000-0000-000000000000}"/>
  <bookViews>
    <workbookView xWindow="-110" yWindow="-110" windowWidth="19420" windowHeight="10300" activeTab="2" xr2:uid="{00000000-000D-0000-FFFF-FFFF00000000}"/>
  </bookViews>
  <sheets>
    <sheet name="Raw_Data" sheetId="1" r:id="rId1"/>
    <sheet name="Cleaned Data" sheetId="2" r:id="rId2"/>
    <sheet name="Pivot Report" sheetId="4" r:id="rId3"/>
    <sheet name="SQL Queries" sheetId="7" r:id="rId4"/>
  </sheets>
  <definedNames>
    <definedName name="Slicer_Channel">#N/A</definedName>
    <definedName name="Slicer_Month">#N/A</definedName>
    <definedName name="Slicer_Product">#N/A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2" l="1"/>
  <c r="L2" i="2" s="1"/>
  <c r="K3" i="2"/>
  <c r="L3" i="2" s="1"/>
  <c r="K4" i="2"/>
  <c r="L4" i="2" s="1"/>
  <c r="K5" i="2"/>
  <c r="L5" i="2" s="1"/>
  <c r="K6" i="2"/>
  <c r="L6" i="2" s="1"/>
  <c r="K7" i="2"/>
  <c r="L7" i="2" s="1"/>
  <c r="K8" i="2"/>
  <c r="L8"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K35" i="2"/>
  <c r="L35" i="2" s="1"/>
  <c r="K36" i="2"/>
  <c r="L36" i="2" s="1"/>
  <c r="K37" i="2"/>
  <c r="L37" i="2" s="1"/>
  <c r="K38" i="2"/>
  <c r="L38" i="2" s="1"/>
  <c r="K39" i="2"/>
  <c r="L39" i="2" s="1"/>
  <c r="K40" i="2"/>
  <c r="L40" i="2" s="1"/>
  <c r="K41" i="2"/>
  <c r="L41" i="2" s="1"/>
  <c r="K42" i="2"/>
  <c r="L42" i="2" s="1"/>
  <c r="K43" i="2"/>
  <c r="L43" i="2" s="1"/>
  <c r="K44" i="2"/>
  <c r="L44" i="2" s="1"/>
  <c r="K45" i="2"/>
  <c r="L45" i="2" s="1"/>
  <c r="K46" i="2"/>
  <c r="L46" i="2" s="1"/>
  <c r="K47" i="2"/>
  <c r="L47" i="2" s="1"/>
  <c r="K48" i="2"/>
  <c r="L48" i="2" s="1"/>
  <c r="K49" i="2"/>
  <c r="L49" i="2" s="1"/>
  <c r="K50" i="2"/>
  <c r="L50" i="2" s="1"/>
  <c r="K51" i="2"/>
  <c r="L51" i="2" s="1"/>
  <c r="K52" i="2"/>
  <c r="L52" i="2" s="1"/>
  <c r="K53" i="2"/>
  <c r="L53" i="2" s="1"/>
  <c r="K54" i="2"/>
  <c r="L54" i="2" s="1"/>
  <c r="K55" i="2"/>
  <c r="L55" i="2" s="1"/>
  <c r="K56" i="2"/>
  <c r="L56" i="2" s="1"/>
  <c r="K57" i="2"/>
  <c r="L57" i="2" s="1"/>
  <c r="K58" i="2"/>
  <c r="L58" i="2" s="1"/>
  <c r="K59" i="2"/>
  <c r="L59" i="2" s="1"/>
  <c r="K60" i="2"/>
  <c r="L60" i="2" s="1"/>
  <c r="K61" i="2"/>
  <c r="L61" i="2" s="1"/>
  <c r="K62" i="2"/>
  <c r="L62" i="2" s="1"/>
  <c r="K63" i="2"/>
  <c r="L63" i="2" s="1"/>
  <c r="K64" i="2"/>
  <c r="L64" i="2" s="1"/>
  <c r="K65" i="2"/>
  <c r="L65" i="2" s="1"/>
  <c r="K66" i="2"/>
  <c r="L66" i="2" s="1"/>
  <c r="K67" i="2"/>
  <c r="L67" i="2" s="1"/>
  <c r="K68" i="2"/>
  <c r="L68" i="2" s="1"/>
  <c r="K69" i="2"/>
  <c r="L69" i="2" s="1"/>
  <c r="K70" i="2"/>
  <c r="L70" i="2" s="1"/>
  <c r="K71" i="2"/>
  <c r="L71" i="2" s="1"/>
  <c r="K72" i="2"/>
  <c r="L72" i="2" s="1"/>
  <c r="K73" i="2"/>
  <c r="L73" i="2" s="1"/>
  <c r="K74" i="2"/>
  <c r="L74" i="2" s="1"/>
  <c r="K75" i="2"/>
  <c r="L75" i="2" s="1"/>
  <c r="K76" i="2"/>
  <c r="L76" i="2" s="1"/>
  <c r="K77" i="2"/>
  <c r="L77" i="2" s="1"/>
  <c r="K78" i="2"/>
  <c r="L78" i="2" s="1"/>
  <c r="K79" i="2"/>
  <c r="L79" i="2" s="1"/>
  <c r="K80" i="2"/>
  <c r="L80" i="2" s="1"/>
  <c r="K81" i="2"/>
  <c r="L81" i="2" s="1"/>
  <c r="K82" i="2"/>
  <c r="L82" i="2" s="1"/>
  <c r="K83" i="2"/>
  <c r="L83" i="2" s="1"/>
  <c r="K84" i="2"/>
  <c r="L84" i="2" s="1"/>
  <c r="K85" i="2"/>
  <c r="L85" i="2" s="1"/>
  <c r="K86" i="2"/>
  <c r="L86" i="2" s="1"/>
  <c r="K87" i="2"/>
  <c r="L87" i="2" s="1"/>
  <c r="K88" i="2"/>
  <c r="L88" i="2" s="1"/>
  <c r="K89" i="2"/>
  <c r="L89" i="2" s="1"/>
  <c r="K90" i="2"/>
  <c r="L90" i="2" s="1"/>
  <c r="K91" i="2"/>
  <c r="L91" i="2" s="1"/>
  <c r="K92" i="2"/>
  <c r="L92" i="2" s="1"/>
  <c r="K93" i="2"/>
  <c r="L93" i="2" s="1"/>
  <c r="K94" i="2"/>
  <c r="L94" i="2" s="1"/>
  <c r="K95" i="2"/>
  <c r="L95" i="2" s="1"/>
  <c r="K96" i="2"/>
  <c r="L96" i="2" s="1"/>
  <c r="K97" i="2"/>
  <c r="L97" i="2" s="1"/>
  <c r="K98" i="2"/>
  <c r="L98" i="2" s="1"/>
  <c r="K99" i="2"/>
  <c r="L99" i="2" s="1"/>
  <c r="K100" i="2"/>
  <c r="L100" i="2" s="1"/>
  <c r="K101" i="2"/>
  <c r="L101" i="2" s="1"/>
  <c r="K102" i="2"/>
  <c r="L102" i="2" s="1"/>
  <c r="K103" i="2"/>
  <c r="L103" i="2" s="1"/>
  <c r="K104" i="2"/>
  <c r="L104" i="2" s="1"/>
  <c r="K105" i="2"/>
  <c r="L105" i="2" s="1"/>
  <c r="K106" i="2"/>
  <c r="L106" i="2" s="1"/>
  <c r="K107" i="2"/>
  <c r="L107" i="2" s="1"/>
  <c r="K108" i="2"/>
  <c r="L108" i="2" s="1"/>
  <c r="K109" i="2"/>
  <c r="L109" i="2" s="1"/>
  <c r="K110" i="2"/>
  <c r="L110" i="2" s="1"/>
  <c r="K111" i="2"/>
  <c r="L111" i="2" s="1"/>
  <c r="K112" i="2"/>
  <c r="L112" i="2" s="1"/>
  <c r="K113" i="2"/>
  <c r="L113" i="2" s="1"/>
  <c r="K114" i="2"/>
  <c r="L114" i="2" s="1"/>
  <c r="K115" i="2"/>
  <c r="L115" i="2" s="1"/>
  <c r="K116" i="2"/>
  <c r="L116" i="2" s="1"/>
  <c r="K117" i="2"/>
  <c r="L117" i="2" s="1"/>
  <c r="K118" i="2"/>
  <c r="L118" i="2" s="1"/>
  <c r="K119" i="2"/>
  <c r="L119" i="2" s="1"/>
  <c r="K120" i="2"/>
  <c r="L120" i="2" s="1"/>
  <c r="K121" i="2"/>
  <c r="L121" i="2" s="1"/>
  <c r="K122" i="2"/>
  <c r="L122" i="2" s="1"/>
  <c r="K123" i="2"/>
  <c r="L123" i="2" s="1"/>
  <c r="K124" i="2"/>
  <c r="L124" i="2" s="1"/>
  <c r="K125" i="2"/>
  <c r="L125" i="2" s="1"/>
  <c r="K126" i="2"/>
  <c r="L126" i="2" s="1"/>
  <c r="K127" i="2"/>
  <c r="L127" i="2" s="1"/>
  <c r="K128" i="2"/>
  <c r="L128" i="2" s="1"/>
  <c r="K129" i="2"/>
  <c r="L129" i="2" s="1"/>
  <c r="K130" i="2"/>
  <c r="L130" i="2" s="1"/>
  <c r="K131" i="2"/>
  <c r="L131" i="2" s="1"/>
  <c r="K132" i="2"/>
  <c r="L132" i="2" s="1"/>
  <c r="K133" i="2"/>
  <c r="L133" i="2" s="1"/>
  <c r="K134" i="2"/>
  <c r="L134" i="2" s="1"/>
  <c r="K135" i="2"/>
  <c r="L135" i="2" s="1"/>
  <c r="K136" i="2"/>
  <c r="L136" i="2" s="1"/>
  <c r="K137" i="2"/>
  <c r="L137" i="2" s="1"/>
  <c r="K138" i="2"/>
  <c r="L138" i="2" s="1"/>
  <c r="K139" i="2"/>
  <c r="L139" i="2" s="1"/>
  <c r="K140" i="2"/>
  <c r="L140" i="2" s="1"/>
  <c r="K141" i="2"/>
  <c r="L141" i="2" s="1"/>
  <c r="K142" i="2"/>
  <c r="L142" i="2" s="1"/>
  <c r="K143" i="2"/>
  <c r="L143" i="2" s="1"/>
  <c r="K144" i="2"/>
  <c r="L144" i="2" s="1"/>
  <c r="K145" i="2"/>
  <c r="L145" i="2" s="1"/>
  <c r="K146" i="2"/>
  <c r="L146" i="2" s="1"/>
  <c r="K147" i="2"/>
  <c r="L147" i="2" s="1"/>
  <c r="K148" i="2"/>
  <c r="L148" i="2" s="1"/>
  <c r="K149" i="2"/>
  <c r="L149" i="2" s="1"/>
  <c r="K150" i="2"/>
  <c r="L150" i="2" s="1"/>
  <c r="K151" i="2"/>
  <c r="L151" i="2" s="1"/>
  <c r="K152" i="2"/>
  <c r="L152" i="2" s="1"/>
  <c r="K153" i="2"/>
  <c r="L153" i="2" s="1"/>
  <c r="K154" i="2"/>
  <c r="L154" i="2" s="1"/>
  <c r="K155" i="2"/>
  <c r="L155" i="2" s="1"/>
  <c r="K156" i="2"/>
  <c r="L156" i="2" s="1"/>
  <c r="K157" i="2"/>
  <c r="L157" i="2" s="1"/>
  <c r="K158" i="2"/>
  <c r="L158" i="2" s="1"/>
  <c r="K159" i="2"/>
  <c r="L159" i="2" s="1"/>
  <c r="K160" i="2"/>
  <c r="L160" i="2" s="1"/>
  <c r="K161" i="2"/>
  <c r="L161" i="2" s="1"/>
  <c r="K162" i="2"/>
  <c r="L162" i="2" s="1"/>
  <c r="K163" i="2"/>
  <c r="L163" i="2" s="1"/>
  <c r="K164" i="2"/>
  <c r="L164" i="2" s="1"/>
  <c r="K165" i="2"/>
  <c r="L165" i="2" s="1"/>
  <c r="K166" i="2"/>
  <c r="L166" i="2" s="1"/>
  <c r="K167" i="2"/>
  <c r="L167" i="2" s="1"/>
  <c r="K168" i="2"/>
  <c r="L168" i="2" s="1"/>
  <c r="K169" i="2"/>
  <c r="L169" i="2" s="1"/>
  <c r="K170" i="2"/>
  <c r="L170" i="2" s="1"/>
  <c r="K171" i="2"/>
  <c r="L171" i="2" s="1"/>
  <c r="K172" i="2"/>
  <c r="L172" i="2" s="1"/>
  <c r="K173" i="2"/>
  <c r="L173" i="2" s="1"/>
  <c r="K174" i="2"/>
  <c r="L174" i="2" s="1"/>
  <c r="K175" i="2"/>
  <c r="L175" i="2" s="1"/>
  <c r="K176" i="2"/>
  <c r="L176" i="2" s="1"/>
  <c r="K177" i="2"/>
  <c r="L177" i="2" s="1"/>
  <c r="K178" i="2"/>
  <c r="L178" i="2" s="1"/>
  <c r="K179" i="2"/>
  <c r="L179" i="2" s="1"/>
  <c r="K180" i="2"/>
  <c r="L180" i="2" s="1"/>
  <c r="K181" i="2"/>
  <c r="L181" i="2" s="1"/>
  <c r="K182" i="2"/>
  <c r="L182" i="2" s="1"/>
  <c r="K183" i="2"/>
  <c r="L183" i="2" s="1"/>
  <c r="K184" i="2"/>
  <c r="L184" i="2" s="1"/>
  <c r="K185" i="2"/>
  <c r="L185" i="2" s="1"/>
  <c r="K186" i="2"/>
  <c r="L186" i="2" s="1"/>
  <c r="K187" i="2"/>
  <c r="L187" i="2" s="1"/>
  <c r="K188" i="2"/>
  <c r="L188" i="2" s="1"/>
  <c r="K189" i="2"/>
  <c r="L189" i="2" s="1"/>
  <c r="K190" i="2"/>
  <c r="L190" i="2" s="1"/>
  <c r="K191" i="2"/>
  <c r="L191" i="2" s="1"/>
  <c r="K192" i="2"/>
  <c r="L192" i="2" s="1"/>
  <c r="K193" i="2"/>
  <c r="L193" i="2" s="1"/>
  <c r="K194" i="2"/>
  <c r="L194" i="2" s="1"/>
  <c r="K195" i="2"/>
  <c r="L195" i="2" s="1"/>
  <c r="K196" i="2"/>
  <c r="L196" i="2" s="1"/>
  <c r="K197" i="2"/>
  <c r="L197" i="2" s="1"/>
  <c r="K198" i="2"/>
  <c r="L198" i="2" s="1"/>
  <c r="K199" i="2"/>
  <c r="L199" i="2" s="1"/>
  <c r="K200" i="2"/>
  <c r="L200" i="2" s="1"/>
  <c r="K201" i="2"/>
  <c r="L201" i="2" s="1"/>
  <c r="K202" i="2"/>
  <c r="L202" i="2" s="1"/>
  <c r="K203" i="2"/>
  <c r="L203" i="2" s="1"/>
  <c r="K204" i="2"/>
  <c r="L204" i="2" s="1"/>
  <c r="K205" i="2"/>
  <c r="L205" i="2" s="1"/>
  <c r="K206" i="2"/>
  <c r="L206" i="2" s="1"/>
  <c r="K207" i="2"/>
  <c r="L207" i="2" s="1"/>
  <c r="K208" i="2"/>
  <c r="L208" i="2" s="1"/>
  <c r="K209" i="2"/>
  <c r="L209" i="2" s="1"/>
  <c r="K210" i="2"/>
  <c r="L210" i="2" s="1"/>
  <c r="K211" i="2"/>
  <c r="L211" i="2" s="1"/>
  <c r="K212" i="2"/>
  <c r="L212" i="2" s="1"/>
  <c r="K213" i="2"/>
  <c r="L213" i="2" s="1"/>
  <c r="K214" i="2"/>
  <c r="L214" i="2" s="1"/>
  <c r="K215" i="2"/>
  <c r="L215" i="2" s="1"/>
  <c r="K216" i="2"/>
  <c r="L216" i="2" s="1"/>
  <c r="K217" i="2"/>
  <c r="L217" i="2" s="1"/>
  <c r="K218" i="2"/>
  <c r="L218" i="2" s="1"/>
  <c r="K219" i="2"/>
  <c r="L219" i="2" s="1"/>
  <c r="K220" i="2"/>
  <c r="L220" i="2" s="1"/>
  <c r="K221" i="2"/>
  <c r="L221" i="2" s="1"/>
  <c r="K222" i="2"/>
  <c r="L222" i="2" s="1"/>
  <c r="K223" i="2"/>
  <c r="L223" i="2" s="1"/>
  <c r="K224" i="2"/>
  <c r="L224" i="2" s="1"/>
  <c r="K225" i="2"/>
  <c r="L225" i="2" s="1"/>
  <c r="K226" i="2"/>
  <c r="L226" i="2" s="1"/>
  <c r="K227" i="2"/>
  <c r="L227" i="2" s="1"/>
  <c r="K228" i="2"/>
  <c r="L228" i="2" s="1"/>
  <c r="K229" i="2"/>
  <c r="L229" i="2" s="1"/>
  <c r="K230" i="2"/>
  <c r="L230" i="2" s="1"/>
  <c r="K231" i="2"/>
  <c r="L231" i="2" s="1"/>
  <c r="K232" i="2"/>
  <c r="L232" i="2" s="1"/>
  <c r="K233" i="2"/>
  <c r="L233" i="2" s="1"/>
  <c r="K234" i="2"/>
  <c r="L234" i="2" s="1"/>
  <c r="K235" i="2"/>
  <c r="L235" i="2" s="1"/>
  <c r="K236" i="2"/>
  <c r="L236" i="2" s="1"/>
  <c r="K237" i="2"/>
  <c r="L237" i="2" s="1"/>
  <c r="K238" i="2"/>
  <c r="L238" i="2" s="1"/>
  <c r="K239" i="2"/>
  <c r="L239" i="2" s="1"/>
  <c r="K240" i="2"/>
  <c r="L240" i="2" s="1"/>
  <c r="K241" i="2"/>
  <c r="L241" i="2" s="1"/>
  <c r="K242" i="2"/>
  <c r="L242" i="2" s="1"/>
  <c r="K243" i="2"/>
  <c r="L243" i="2" s="1"/>
  <c r="K244" i="2"/>
  <c r="L244" i="2" s="1"/>
  <c r="K245" i="2"/>
  <c r="L245" i="2" s="1"/>
  <c r="K246" i="2"/>
  <c r="L246" i="2" s="1"/>
  <c r="K247" i="2"/>
  <c r="L247" i="2" s="1"/>
  <c r="K248" i="2"/>
  <c r="L248" i="2" s="1"/>
  <c r="K249" i="2"/>
  <c r="L249" i="2" s="1"/>
  <c r="K250" i="2"/>
  <c r="L250" i="2" s="1"/>
  <c r="K251" i="2"/>
  <c r="L251" i="2" s="1"/>
  <c r="K252" i="2"/>
  <c r="L252" i="2" s="1"/>
  <c r="K253" i="2"/>
  <c r="L253" i="2" s="1"/>
  <c r="K254" i="2"/>
  <c r="L254" i="2" s="1"/>
  <c r="K255" i="2"/>
  <c r="L255" i="2" s="1"/>
  <c r="K256" i="2"/>
  <c r="L256" i="2" s="1"/>
  <c r="K257" i="2"/>
  <c r="L257" i="2" s="1"/>
  <c r="K258" i="2"/>
  <c r="L258" i="2" s="1"/>
  <c r="K259" i="2"/>
  <c r="L259" i="2" s="1"/>
  <c r="K260" i="2"/>
  <c r="L260" i="2" s="1"/>
  <c r="K261" i="2"/>
  <c r="L261" i="2" s="1"/>
  <c r="K262" i="2"/>
  <c r="L262" i="2" s="1"/>
  <c r="K263" i="2"/>
  <c r="L263" i="2" s="1"/>
  <c r="K264" i="2"/>
  <c r="L264" i="2" s="1"/>
  <c r="K265" i="2"/>
  <c r="L265" i="2" s="1"/>
  <c r="K266" i="2"/>
  <c r="L266" i="2" s="1"/>
  <c r="K267" i="2"/>
  <c r="L267" i="2" s="1"/>
  <c r="K268" i="2"/>
  <c r="L268" i="2" s="1"/>
  <c r="K269" i="2"/>
  <c r="L269" i="2" s="1"/>
  <c r="K270" i="2"/>
  <c r="L270" i="2" s="1"/>
  <c r="K271" i="2"/>
  <c r="L271" i="2" s="1"/>
  <c r="K272" i="2"/>
  <c r="L272" i="2" s="1"/>
  <c r="K273" i="2"/>
  <c r="L273" i="2" s="1"/>
  <c r="K274" i="2"/>
  <c r="L274" i="2" s="1"/>
  <c r="K275" i="2"/>
  <c r="L275" i="2" s="1"/>
  <c r="K276" i="2"/>
  <c r="L276" i="2" s="1"/>
  <c r="K277" i="2"/>
  <c r="L277" i="2" s="1"/>
  <c r="K278" i="2"/>
  <c r="L278" i="2" s="1"/>
  <c r="K279" i="2"/>
  <c r="L279" i="2" s="1"/>
  <c r="K280" i="2"/>
  <c r="L280" i="2" s="1"/>
  <c r="K281" i="2"/>
  <c r="L281" i="2" s="1"/>
  <c r="K282" i="2"/>
  <c r="L282" i="2" s="1"/>
  <c r="K283" i="2"/>
  <c r="L283" i="2" s="1"/>
  <c r="K284" i="2"/>
  <c r="L284" i="2" s="1"/>
  <c r="K285" i="2"/>
  <c r="L285" i="2" s="1"/>
  <c r="K286" i="2"/>
  <c r="L286" i="2" s="1"/>
  <c r="K287" i="2"/>
  <c r="L287" i="2" s="1"/>
  <c r="K288" i="2"/>
  <c r="L288" i="2" s="1"/>
  <c r="K289" i="2"/>
  <c r="L289" i="2" s="1"/>
  <c r="K290" i="2"/>
  <c r="L290" i="2" s="1"/>
  <c r="K291" i="2"/>
  <c r="L291" i="2" s="1"/>
  <c r="K292" i="2"/>
  <c r="L292" i="2" s="1"/>
  <c r="K293" i="2"/>
  <c r="L293" i="2" s="1"/>
  <c r="K294" i="2"/>
  <c r="L294" i="2" s="1"/>
  <c r="K295" i="2"/>
  <c r="L295" i="2" s="1"/>
  <c r="K296" i="2"/>
  <c r="L296" i="2" s="1"/>
  <c r="K297" i="2"/>
  <c r="L297" i="2" s="1"/>
  <c r="K298" i="2"/>
  <c r="L298" i="2" s="1"/>
  <c r="K299" i="2"/>
  <c r="L299" i="2" s="1"/>
  <c r="K300" i="2"/>
  <c r="L300" i="2" s="1"/>
  <c r="K301" i="2"/>
  <c r="L301" i="2" s="1"/>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2" i="2"/>
</calcChain>
</file>

<file path=xl/sharedStrings.xml><?xml version="1.0" encoding="utf-8"?>
<sst xmlns="http://schemas.openxmlformats.org/spreadsheetml/2006/main" count="3107" uniqueCount="112">
  <si>
    <t>Date</t>
  </si>
  <si>
    <t>Product</t>
  </si>
  <si>
    <t>Category</t>
  </si>
  <si>
    <t>Region</t>
  </si>
  <si>
    <t>Channel</t>
  </si>
  <si>
    <t>Units_Sold</t>
  </si>
  <si>
    <t>Revenue</t>
  </si>
  <si>
    <t>Cost</t>
  </si>
  <si>
    <t>Inventory</t>
  </si>
  <si>
    <t>06-02-2025</t>
  </si>
  <si>
    <t>Loan F</t>
  </si>
  <si>
    <t>Finance</t>
  </si>
  <si>
    <t>South</t>
  </si>
  <si>
    <t>Branch</t>
  </si>
  <si>
    <t>15-02-2025</t>
  </si>
  <si>
    <t>Loan C</t>
  </si>
  <si>
    <t>North</t>
  </si>
  <si>
    <t>Online</t>
  </si>
  <si>
    <t>12-02-2025</t>
  </si>
  <si>
    <t>Loan B</t>
  </si>
  <si>
    <t>West</t>
  </si>
  <si>
    <t>16-01-2025</t>
  </si>
  <si>
    <t>Loan D</t>
  </si>
  <si>
    <t>02-03-2025</t>
  </si>
  <si>
    <t>Loan A</t>
  </si>
  <si>
    <t>23-02-2025</t>
  </si>
  <si>
    <t>09-02-2025</t>
  </si>
  <si>
    <t>02-02-2025</t>
  </si>
  <si>
    <t>13-02-2025</t>
  </si>
  <si>
    <t>East</t>
  </si>
  <si>
    <t>Agent</t>
  </si>
  <si>
    <t>16-02-2025</t>
  </si>
  <si>
    <t>27-01-2025</t>
  </si>
  <si>
    <t>21-01-2025</t>
  </si>
  <si>
    <t>24-02-2025</t>
  </si>
  <si>
    <t>08-02-2025</t>
  </si>
  <si>
    <t>07-01-2025</t>
  </si>
  <si>
    <t>09-01-2025</t>
  </si>
  <si>
    <t>28-02-2025</t>
  </si>
  <si>
    <t>23-01-2025</t>
  </si>
  <si>
    <t>19-01-2025</t>
  </si>
  <si>
    <t>17-02-2025</t>
  </si>
  <si>
    <t>Loan E</t>
  </si>
  <si>
    <t>25-01-2025</t>
  </si>
  <si>
    <t>02-01-2025</t>
  </si>
  <si>
    <t>14-01-2025</t>
  </si>
  <si>
    <t>06-01-2025</t>
  </si>
  <si>
    <t>26-02-2025</t>
  </si>
  <si>
    <t>05-01-2025</t>
  </si>
  <si>
    <t>10-01-2025</t>
  </si>
  <si>
    <t>05-02-2025</t>
  </si>
  <si>
    <t>04-01-2025</t>
  </si>
  <si>
    <t>25-02-2025</t>
  </si>
  <si>
    <t>17-01-2025</t>
  </si>
  <si>
    <t>22-02-2025</t>
  </si>
  <si>
    <t>04-02-2025</t>
  </si>
  <si>
    <t>01-02-2025</t>
  </si>
  <si>
    <t>07-02-2025</t>
  </si>
  <si>
    <t>22-01-2025</t>
  </si>
  <si>
    <t>18-01-2025</t>
  </si>
  <si>
    <t>27-02-2025</t>
  </si>
  <si>
    <t>31-01-2025</t>
  </si>
  <si>
    <t>26-01-2025</t>
  </si>
  <si>
    <t>13-01-2025</t>
  </si>
  <si>
    <t>10-02-2025</t>
  </si>
  <si>
    <t>30-01-2025</t>
  </si>
  <si>
    <t>20-02-2025</t>
  </si>
  <si>
    <t>19-02-2025</t>
  </si>
  <si>
    <t>12-01-2025</t>
  </si>
  <si>
    <t>24-01-2025</t>
  </si>
  <si>
    <t>01-03-2025</t>
  </si>
  <si>
    <t>14-02-2025</t>
  </si>
  <si>
    <t>03-01-2025</t>
  </si>
  <si>
    <t>03-02-2025</t>
  </si>
  <si>
    <t>18-02-2025</t>
  </si>
  <si>
    <t>21-02-2025</t>
  </si>
  <si>
    <t>20-01-2025</t>
  </si>
  <si>
    <t>29-01-2025</t>
  </si>
  <si>
    <t>15-01-2025</t>
  </si>
  <si>
    <t>11-01-2025</t>
  </si>
  <si>
    <t>01-01-2025</t>
  </si>
  <si>
    <t>11-02-2025</t>
  </si>
  <si>
    <t>28-01-2025</t>
  </si>
  <si>
    <t>08-01-2025</t>
  </si>
  <si>
    <t>Month</t>
  </si>
  <si>
    <t>profit</t>
  </si>
  <si>
    <t>Profit %</t>
  </si>
  <si>
    <t>Grand Total</t>
  </si>
  <si>
    <t>Sum of Revenue</t>
  </si>
  <si>
    <t>Product Performance</t>
  </si>
  <si>
    <t>Regional Performance</t>
  </si>
  <si>
    <t>Channel Contribution</t>
  </si>
  <si>
    <t>Profitability by Product</t>
  </si>
  <si>
    <t>Sum of profit</t>
  </si>
  <si>
    <t>Inventory vs Sales</t>
  </si>
  <si>
    <t>Sum of Units_Sold</t>
  </si>
  <si>
    <t>Sum of Inventory</t>
  </si>
  <si>
    <t>Average of Profit %</t>
  </si>
  <si>
    <t>Total Revenue</t>
  </si>
  <si>
    <t>SELECT Product, SUM(Revenue) AS Total_Revenue</t>
  </si>
  <si>
    <t>FROM sales_data</t>
  </si>
  <si>
    <t>GROUP BY Product;</t>
  </si>
  <si>
    <t>SELECT Channel, SUM(Revenue) AS Revenue</t>
  </si>
  <si>
    <t>GROUP BY Channel;</t>
  </si>
  <si>
    <t>SELECT Product, SUM(Units_Sold) AS Sales, SUM(Inventory) AS Inventory</t>
  </si>
  <si>
    <t>These queries represent the backend logic used to derive insights shown in the dashboard</t>
  </si>
  <si>
    <t>Show me total revenue for each product</t>
  </si>
  <si>
    <t>For each product, compare how much we sold vs how much stock we have</t>
  </si>
  <si>
    <t>Total_Revenue</t>
  </si>
  <si>
    <t>Sales</t>
  </si>
  <si>
    <t xml:space="preserve">Show me total revenue from each channel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</si>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</sst>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7" x14ac:knownFonts="1">
    <font>
      <sz val="11"/>
      <color theme="1"/>
      <name val="Calibri"/>
      <family val="2"/>
      <scheme val="minor"/>
    </font>
    <font>
      <sz val="11"/>
      <color theme="1"/>
      <name val="Calibri"/>
      <family val="2"/>
      <scheme val="minor"/>
    </font>
    <font>
      <b/>
      <sz val="11"/>
      <color theme="1"/>
      <name val="Calibri"/>
      <family val="2"/>
      <scheme val="minor"/>
    </font>
    <font>
      <b/>
      <sz val="13"/>
      <color theme="1"/>
      <name val="Calibri"/>
      <family val="2"/>
      <scheme val="minor"/>
    </font>
    <font>
      <sz val="13"/>
      <color theme="1"/>
      <name val="Calibri"/>
      <family val="2"/>
      <scheme val="minor"/>
    </font>
    <font>
      <sz val="12"/>
      <color theme="1"/>
      <name val="Calibri"/>
      <family val="2"/>
      <scheme val="minor"/>
    </font>
    <font>
      <i/>
      <sz val="12"/>
      <color theme="1"/>
      <name val="Calibri"/>
      <family val="2"/>
      <scheme val="minor"/>
    </font>
  </fonts>
  <fills count="3">
    <fill>
      <patternFill patternType="none"/>
    </fill>
    <fill>
      <patternFill patternType="gray125"/>
    </fill>
    <fill>
      <patternFill patternType="solid">
        <fgColor theme="8" tint="0.39997558519241921"/>
        <bgColor indexed="64"/>
      </patternFill>
    </fill>
  </fills>
  <borders count="14">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34">
    <xf numFmtId="0" fontId="0" fillId="0" borderId="0" xfId="0"/>
    <xf numFmtId="10" fontId="0" fillId="0" borderId="0" xfId="1" applyNumberFormat="1" applyFont="1"/>
    <xf numFmtId="0" fontId="4" fillId="0" borderId="1" xfId="0" pivotButton="1" applyFont="1" applyBorder="1"/>
    <xf numFmtId="0" fontId="4" fillId="0" borderId="1" xfId="0" applyFont="1" applyBorder="1"/>
    <xf numFmtId="0" fontId="4" fillId="0" borderId="11" xfId="0" applyFont="1" applyBorder="1"/>
    <xf numFmtId="0" fontId="4" fillId="0" borderId="12" xfId="0" applyFont="1" applyBorder="1"/>
    <xf numFmtId="0" fontId="4" fillId="0" borderId="8" xfId="0" applyFont="1" applyBorder="1" applyAlignment="1">
      <alignment horizontal="left"/>
    </xf>
    <xf numFmtId="0" fontId="4" fillId="0" borderId="9" xfId="0" applyFont="1" applyBorder="1" applyAlignment="1">
      <alignment horizontal="left"/>
    </xf>
    <xf numFmtId="0" fontId="4" fillId="0" borderId="10" xfId="0" applyFont="1" applyBorder="1" applyAlignment="1">
      <alignment horizontal="left"/>
    </xf>
    <xf numFmtId="0" fontId="4" fillId="0" borderId="1" xfId="0" applyFont="1" applyBorder="1" applyAlignment="1">
      <alignment horizontal="left"/>
    </xf>
    <xf numFmtId="43" fontId="4" fillId="0" borderId="8" xfId="0" applyNumberFormat="1" applyFont="1" applyBorder="1"/>
    <xf numFmtId="43" fontId="4" fillId="0" borderId="9" xfId="0" applyNumberFormat="1" applyFont="1" applyBorder="1"/>
    <xf numFmtId="0" fontId="5" fillId="0" borderId="0" xfId="0" applyFont="1" applyAlignment="1">
      <alignment vertical="center"/>
    </xf>
    <xf numFmtId="0" fontId="2" fillId="0" borderId="0" xfId="0" applyFont="1"/>
    <xf numFmtId="0" fontId="6" fillId="0" borderId="0" xfId="0" applyFont="1"/>
    <xf numFmtId="10" fontId="2" fillId="0" borderId="1" xfId="0" applyNumberFormat="1" applyFont="1" applyBorder="1" applyAlignment="1">
      <alignment horizontal="center" vertical="center"/>
    </xf>
    <xf numFmtId="164" fontId="2" fillId="0" borderId="1" xfId="0" applyNumberFormat="1" applyFont="1" applyBorder="1" applyAlignment="1">
      <alignment horizontal="center" vertical="center"/>
    </xf>
    <xf numFmtId="0" fontId="4" fillId="0" borderId="8" xfId="0" applyFont="1" applyBorder="1"/>
    <xf numFmtId="0" fontId="4" fillId="0" borderId="9" xfId="0" applyFont="1" applyBorder="1"/>
    <xf numFmtId="0" fontId="4" fillId="0" borderId="10" xfId="0" applyFont="1" applyBorder="1"/>
    <xf numFmtId="0" fontId="0" fillId="2" borderId="1" xfId="0" applyFill="1" applyBorder="1" applyAlignment="1">
      <alignment horizontal="center"/>
    </xf>
    <xf numFmtId="0" fontId="2" fillId="0" borderId="1" xfId="0" applyFont="1" applyBorder="1" applyAlignment="1">
      <alignment horizontal="center" vertical="center"/>
    </xf>
    <xf numFmtId="0" fontId="0" fillId="2" borderId="1" xfId="0" applyFill="1" applyBorder="1" applyAlignment="1">
      <alignment horizontal="center" vertical="center"/>
    </xf>
    <xf numFmtId="0" fontId="4" fillId="0" borderId="2" xfId="0" applyFont="1" applyBorder="1"/>
    <xf numFmtId="0" fontId="4" fillId="0" borderId="3" xfId="0" applyFont="1" applyBorder="1"/>
    <xf numFmtId="0" fontId="4" fillId="0" borderId="4" xfId="0" applyFont="1" applyBorder="1"/>
    <xf numFmtId="0" fontId="4" fillId="0" borderId="5" xfId="0" applyFont="1" applyBorder="1"/>
    <xf numFmtId="0" fontId="4" fillId="0" borderId="6" xfId="0" applyFont="1" applyBorder="1"/>
    <xf numFmtId="0" fontId="4" fillId="0" borderId="7" xfId="0" applyFont="1" applyBorder="1"/>
    <xf numFmtId="0" fontId="3" fillId="0" borderId="2" xfId="0" applyFont="1" applyBorder="1" applyAlignment="1">
      <alignment horizontal="center"/>
    </xf>
    <xf numFmtId="0" fontId="3" fillId="0" borderId="3"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13" xfId="0" applyFont="1" applyBorder="1" applyAlignment="1">
      <alignment horizontal="center"/>
    </xf>
  </cellXfs>
  <cellStyles count="2">
    <cellStyle name="Normal" xfId="0" builtinId="0"/>
    <cellStyle name="Percent" xfId="1" builtinId="5"/>
  </cellStyles>
  <dxfs count="128">
    <dxf>
      <numFmt numFmtId="14" formatCode="0.00%"/>
    </dxf>
    <dxf>
      <numFmt numFmtId="0" formatCode="General"/>
    </dxf>
    <dxf>
      <font>
        <sz val="13"/>
      </font>
    </dxf>
    <dxf>
      <font>
        <sz val="13"/>
      </font>
    </dxf>
    <dxf>
      <font>
        <sz val="13"/>
      </font>
    </dxf>
    <dxf>
      <font>
        <sz val="13"/>
      </font>
    </dxf>
    <dxf>
      <font>
        <sz val="13"/>
      </font>
    </dxf>
    <dxf>
      <font>
        <sz val="13"/>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1"/>
      </font>
    </dxf>
    <dxf>
      <font>
        <sz val="11"/>
      </font>
    </dxf>
    <dxf>
      <font>
        <sz val="11"/>
      </font>
    </dxf>
    <dxf>
      <font>
        <b/>
      </font>
    </dxf>
    <dxf>
      <alignment horizontal="center"/>
    </dxf>
    <dxf>
      <alignment vertical="center"/>
    </dxf>
    <dxf>
      <alignment horizontal="center"/>
    </dxf>
    <dxf>
      <alignment horizontal="center"/>
    </dxf>
    <dxf>
      <alignment vertical="center"/>
    </dxf>
    <dxf>
      <fill>
        <patternFill>
          <bgColor theme="8" tint="0.39997558519241921"/>
        </patternFill>
      </fill>
    </dxf>
    <dxf>
      <fill>
        <patternFill patternType="solid">
          <bgColor rgb="FF00B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7"/>
      </font>
    </dxf>
    <dxf>
      <font>
        <sz val="17"/>
      </font>
    </dxf>
    <dxf>
      <font>
        <sz val="17"/>
      </font>
    </dxf>
    <dxf>
      <numFmt numFmtId="14" formatCode="0.00%"/>
    </dxf>
    <dxf>
      <font>
        <sz val="13"/>
      </font>
    </dxf>
    <dxf>
      <font>
        <sz val="13"/>
      </font>
    </dxf>
    <dxf>
      <font>
        <sz val="13"/>
      </font>
    </dxf>
    <dxf>
      <font>
        <sz val="13"/>
      </font>
    </dxf>
    <dxf>
      <font>
        <sz val="13"/>
      </font>
    </dxf>
    <dxf>
      <font>
        <sz val="13"/>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3"/>
      </font>
    </dxf>
    <dxf>
      <font>
        <sz val="13"/>
      </font>
    </dxf>
    <dxf>
      <font>
        <sz val="13"/>
      </font>
    </dxf>
    <dxf>
      <font>
        <sz val="13"/>
      </font>
    </dxf>
    <dxf>
      <font>
        <sz val="13"/>
      </font>
    </dxf>
    <dxf>
      <font>
        <sz val="13"/>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3"/>
      </font>
    </dxf>
    <dxf>
      <font>
        <sz val="13"/>
      </font>
    </dxf>
    <dxf>
      <font>
        <sz val="13"/>
      </font>
    </dxf>
    <dxf>
      <font>
        <sz val="13"/>
      </font>
    </dxf>
    <dxf>
      <font>
        <sz val="13"/>
      </font>
    </dxf>
    <dxf>
      <font>
        <sz val="13"/>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1"/>
      </font>
    </dxf>
    <dxf>
      <font>
        <sz val="11"/>
      </font>
    </dxf>
    <dxf>
      <font>
        <sz val="11"/>
      </font>
    </dxf>
    <dxf>
      <font>
        <b/>
      </font>
    </dxf>
    <dxf>
      <alignment horizontal="center"/>
    </dxf>
    <dxf>
      <alignment vertical="center"/>
    </dxf>
    <dxf>
      <alignment horizontal="center"/>
    </dxf>
    <dxf>
      <alignment horizontal="center"/>
    </dxf>
    <dxf>
      <fill>
        <patternFill>
          <bgColor theme="8"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7"/>
      </font>
    </dxf>
    <dxf>
      <font>
        <sz val="17"/>
      </font>
    </dxf>
    <dxf>
      <font>
        <sz val="17"/>
      </font>
    </dxf>
    <dxf>
      <numFmt numFmtId="164" formatCode="_ * #,##0_ ;_ * \-#,##0_ ;_ * &quot;-&quot;??_ ;_ @_ "/>
    </dxf>
    <dxf>
      <font>
        <sz val="11"/>
      </font>
    </dxf>
    <dxf>
      <font>
        <sz val="11"/>
      </font>
    </dxf>
    <dxf>
      <font>
        <sz val="11"/>
      </font>
    </dxf>
    <dxf>
      <font>
        <b/>
      </font>
    </dxf>
    <dxf>
      <alignment horizontal="center"/>
    </dxf>
    <dxf>
      <alignment vertical="center"/>
    </dxf>
    <dxf>
      <alignment horizontal="center"/>
    </dxf>
    <dxf>
      <alignment horizontal="center"/>
    </dxf>
    <dxf>
      <fill>
        <patternFill>
          <bgColor theme="8"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7"/>
      </font>
    </dxf>
    <dxf>
      <font>
        <sz val="17"/>
      </font>
    </dxf>
    <dxf>
      <font>
        <sz val="17"/>
      </font>
    </dxf>
    <dxf>
      <numFmt numFmtId="35" formatCode="_ * #,##0.00_ ;_ * \-#,##0.00_ ;_ * &quot;-&quot;??_ ;_ @_ "/>
    </dxf>
    <dxf>
      <numFmt numFmtId="35" formatCode="_ * #,##0.00_ ;_ * \-#,##0.00_ ;_ * &quot;-&quot;??_ ;_ @_ "/>
    </dxf>
    <dxf>
      <font>
        <sz val="13"/>
      </font>
    </dxf>
    <dxf>
      <font>
        <sz val="13"/>
      </font>
    </dxf>
    <dxf>
      <font>
        <sz val="13"/>
      </font>
    </dxf>
    <dxf>
      <font>
        <sz val="13"/>
      </font>
    </dxf>
    <dxf>
      <font>
        <sz val="13"/>
      </font>
    </dxf>
    <dxf>
      <font>
        <sz val="13"/>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1"/>
      </font>
    </dxf>
    <dxf>
      <font>
        <sz val="11"/>
      </font>
    </dxf>
    <dxf>
      <font>
        <sz val="11"/>
      </font>
    </dxf>
    <dxf>
      <font>
        <b/>
      </font>
    </dxf>
    <dxf>
      <alignment horizontal="center"/>
    </dxf>
    <dxf>
      <alignment vertical="center"/>
    </dxf>
    <dxf>
      <alignment horizontal="center"/>
    </dxf>
    <dxf>
      <alignment horizontal="center"/>
    </dxf>
    <dxf>
      <fill>
        <patternFill>
          <bgColor theme="8"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7"/>
      </font>
    </dxf>
    <dxf>
      <font>
        <sz val="17"/>
      </font>
    </dxf>
    <dxf>
      <font>
        <sz val="17"/>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[Kunal_Advanced_MIS_Data.xlsx]Pivot Report!PivotTable3</c:name>
    <c:fmtId val="2"/>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sz="1400" b="1" i="0" u="none" strike="noStrike" baseline="0"/>
              <a:t>Channel Contribution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24308916600339325"/>
          <c:y val="0.31155003783106811"/>
          <c:w val="0.36208064424220476"/>
          <c:h val="0.58303503212403407"/>
        </c:manualLayout>
      </c:layout>
      <c:pieChart>
        <c:varyColors val="1"/>
        <c:ser>
          <c:idx val="0"/>
          <c:order val="0"/>
          <c:tx>
            <c:strRef>
              <c:f>'Pivot Report'!$B$28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5C7-4FDC-838E-6EF2E8680B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5C7-4FDC-838E-6EF2E8680BB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5C7-4FDC-838E-6EF2E8680BB7}"/>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Report'!$A$29:$A$32</c:f>
              <c:strCache>
                <c:ptCount val="3"/>
                <c:pt idx="0">
                  <c:v>Agent</c:v>
                </c:pt>
                <c:pt idx="1">
                  <c:v>Branch</c:v>
                </c:pt>
                <c:pt idx="2">
                  <c:v>Online</c:v>
                </c:pt>
              </c:strCache>
            </c:strRef>
          </c:cat>
          <c:val>
            <c:numRef>
              <c:f>'Pivot Report'!$B$29:$B$32</c:f>
              <c:numCache>
                <c:formatCode>General</c:formatCode>
                <c:ptCount val="3"/>
                <c:pt idx="0">
                  <c:v>25396576</c:v>
                </c:pt>
                <c:pt idx="1">
                  <c:v>21496955</c:v>
                </c:pt>
                <c:pt idx="2">
                  <c:v>28530060</c:v>
                </c:pt>
              </c:numCache>
            </c:numRef>
          </c:val>
          <c:extLst>
            <c:ext xmlns:c16="http://schemas.microsoft.com/office/drawing/2014/chart" uri="{C3380CC4-5D6E-409C-BE32-E72D297353CC}">
              <c16:uniqueId val="{00000006-55C7-4FDC-838E-6EF2E8680BB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[Kunal_Advanced_MIS_Data.xlsx]Pivot Report!PivotTable1</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400" b="1" i="0" u="none" strike="noStrike" baseline="0"/>
              <a:t>Revenue by Product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Report'!$I$27</c:f>
              <c:strCache>
                <c:ptCount val="1"/>
                <c:pt idx="0">
                  <c:v>Total</c:v>
                </c:pt>
              </c:strCache>
            </c:strRef>
          </c:tx>
          <c:spPr>
            <a:solidFill>
              <a:schemeClr val="accent1"/>
            </a:solidFill>
            <a:ln>
              <a:noFill/>
            </a:ln>
            <a:effectLst/>
          </c:spPr>
          <c:invertIfNegative val="0"/>
          <c:cat>
            <c:strRef>
              <c:f>'Pivot Report'!$H$28:$H$34</c:f>
              <c:strCache>
                <c:ptCount val="6"/>
                <c:pt idx="0">
                  <c:v>Loan A</c:v>
                </c:pt>
                <c:pt idx="1">
                  <c:v>Loan B</c:v>
                </c:pt>
                <c:pt idx="2">
                  <c:v>Loan C</c:v>
                </c:pt>
                <c:pt idx="3">
                  <c:v>Loan D</c:v>
                </c:pt>
                <c:pt idx="4">
                  <c:v>Loan E</c:v>
                </c:pt>
                <c:pt idx="5">
                  <c:v>Loan F</c:v>
                </c:pt>
              </c:strCache>
            </c:strRef>
          </c:cat>
          <c:val>
            <c:numRef>
              <c:f>'Pivot Report'!$I$28:$I$34</c:f>
              <c:numCache>
                <c:formatCode>_(* #,##0.00_);_(* \(#,##0.00\);_(* "-"??_);_(@_)</c:formatCode>
                <c:ptCount val="6"/>
                <c:pt idx="0">
                  <c:v>13865672</c:v>
                </c:pt>
                <c:pt idx="1">
                  <c:v>13815115</c:v>
                </c:pt>
                <c:pt idx="2">
                  <c:v>12315433</c:v>
                </c:pt>
                <c:pt idx="3">
                  <c:v>12313826</c:v>
                </c:pt>
                <c:pt idx="4">
                  <c:v>11163869</c:v>
                </c:pt>
                <c:pt idx="5">
                  <c:v>11949676</c:v>
                </c:pt>
              </c:numCache>
            </c:numRef>
          </c:val>
          <c:extLst>
            <c:ext xmlns:c16="http://schemas.microsoft.com/office/drawing/2014/chart" uri="{C3380CC4-5D6E-409C-BE32-E72D297353CC}">
              <c16:uniqueId val="{00000000-A836-4328-95FB-649F959D37A5}"/>
            </c:ext>
          </c:extLst>
        </c:ser>
        <c:dLbls>
          <c:showLegendKey val="0"/>
          <c:showVal val="0"/>
          <c:showCatName val="0"/>
          <c:showSerName val="0"/>
          <c:showPercent val="0"/>
          <c:showBubbleSize val="0"/>
        </c:dLbls>
        <c:gapWidth val="219"/>
        <c:overlap val="-27"/>
        <c:axId val="1529466992"/>
        <c:axId val="1529465072"/>
      </c:barChart>
      <c:catAx>
        <c:axId val="1529466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529465072"/>
        <c:crosses val="autoZero"/>
        <c:auto val="1"/>
        <c:lblAlgn val="ctr"/>
        <c:lblOffset val="100"/>
        <c:noMultiLvlLbl val="0"/>
      </c:catAx>
      <c:valAx>
        <c:axId val="1529465072"/>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29466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[Kunal_Advanced_MIS_Data.xlsx]Pivot Report!PivotTable5</c:name>
    <c:fmtId val="1"/>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b="1"/>
              <a:t>Inventory vs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Report'!$F$27</c:f>
              <c:strCache>
                <c:ptCount val="1"/>
                <c:pt idx="0">
                  <c:v>Sum of Units_Sold</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Report'!$E$28:$E$34</c:f>
              <c:strCache>
                <c:ptCount val="6"/>
                <c:pt idx="0">
                  <c:v>Loan A</c:v>
                </c:pt>
                <c:pt idx="1">
                  <c:v>Loan B</c:v>
                </c:pt>
                <c:pt idx="2">
                  <c:v>Loan C</c:v>
                </c:pt>
                <c:pt idx="3">
                  <c:v>Loan D</c:v>
                </c:pt>
                <c:pt idx="4">
                  <c:v>Loan E</c:v>
                </c:pt>
                <c:pt idx="5">
                  <c:v>Loan F</c:v>
                </c:pt>
              </c:strCache>
            </c:strRef>
          </c:cat>
          <c:val>
            <c:numRef>
              <c:f>'Pivot Report'!$F$28:$F$34</c:f>
              <c:numCache>
                <c:formatCode>General</c:formatCode>
                <c:ptCount val="6"/>
                <c:pt idx="0">
                  <c:v>6936</c:v>
                </c:pt>
                <c:pt idx="1">
                  <c:v>6687</c:v>
                </c:pt>
                <c:pt idx="2">
                  <c:v>6088</c:v>
                </c:pt>
                <c:pt idx="3">
                  <c:v>6200</c:v>
                </c:pt>
                <c:pt idx="4">
                  <c:v>5585</c:v>
                </c:pt>
                <c:pt idx="5">
                  <c:v>5764</c:v>
                </c:pt>
              </c:numCache>
            </c:numRef>
          </c:val>
          <c:extLst>
            <c:ext xmlns:c16="http://schemas.microsoft.com/office/drawing/2014/chart" uri="{C3380CC4-5D6E-409C-BE32-E72D297353CC}">
              <c16:uniqueId val="{00000000-87EA-4FEA-B687-DC259E04A32F}"/>
            </c:ext>
          </c:extLst>
        </c:ser>
        <c:dLbls>
          <c:showLegendKey val="0"/>
          <c:showVal val="1"/>
          <c:showCatName val="0"/>
          <c:showSerName val="0"/>
          <c:showPercent val="0"/>
          <c:showBubbleSize val="0"/>
        </c:dLbls>
        <c:gapWidth val="219"/>
        <c:overlap val="-27"/>
        <c:axId val="1652426432"/>
        <c:axId val="1762280736"/>
      </c:barChart>
      <c:lineChart>
        <c:grouping val="standard"/>
        <c:varyColors val="0"/>
        <c:ser>
          <c:idx val="1"/>
          <c:order val="1"/>
          <c:tx>
            <c:strRef>
              <c:f>'Pivot Report'!$G$27</c:f>
              <c:strCache>
                <c:ptCount val="1"/>
                <c:pt idx="0">
                  <c:v>Sum of Inventory</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Report'!$E$28:$E$34</c:f>
              <c:strCache>
                <c:ptCount val="6"/>
                <c:pt idx="0">
                  <c:v>Loan A</c:v>
                </c:pt>
                <c:pt idx="1">
                  <c:v>Loan B</c:v>
                </c:pt>
                <c:pt idx="2">
                  <c:v>Loan C</c:v>
                </c:pt>
                <c:pt idx="3">
                  <c:v>Loan D</c:v>
                </c:pt>
                <c:pt idx="4">
                  <c:v>Loan E</c:v>
                </c:pt>
                <c:pt idx="5">
                  <c:v>Loan F</c:v>
                </c:pt>
              </c:strCache>
            </c:strRef>
          </c:cat>
          <c:val>
            <c:numRef>
              <c:f>'Pivot Report'!$G$28:$G$34</c:f>
              <c:numCache>
                <c:formatCode>General</c:formatCode>
                <c:ptCount val="6"/>
                <c:pt idx="0">
                  <c:v>37885</c:v>
                </c:pt>
                <c:pt idx="1">
                  <c:v>32344</c:v>
                </c:pt>
                <c:pt idx="2">
                  <c:v>26607</c:v>
                </c:pt>
                <c:pt idx="3">
                  <c:v>29452</c:v>
                </c:pt>
                <c:pt idx="4">
                  <c:v>26764</c:v>
                </c:pt>
                <c:pt idx="5">
                  <c:v>27346</c:v>
                </c:pt>
              </c:numCache>
            </c:numRef>
          </c:val>
          <c:smooth val="0"/>
          <c:extLst>
            <c:ext xmlns:c16="http://schemas.microsoft.com/office/drawing/2014/chart" uri="{C3380CC4-5D6E-409C-BE32-E72D297353CC}">
              <c16:uniqueId val="{00000001-87EA-4FEA-B687-DC259E04A32F}"/>
            </c:ext>
          </c:extLst>
        </c:ser>
        <c:dLbls>
          <c:showLegendKey val="0"/>
          <c:showVal val="1"/>
          <c:showCatName val="0"/>
          <c:showSerName val="0"/>
          <c:showPercent val="0"/>
          <c:showBubbleSize val="0"/>
        </c:dLbls>
        <c:marker val="1"/>
        <c:smooth val="0"/>
        <c:axId val="1652426432"/>
        <c:axId val="1762280736"/>
      </c:lineChart>
      <c:catAx>
        <c:axId val="165242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62280736"/>
        <c:crosses val="autoZero"/>
        <c:auto val="1"/>
        <c:lblAlgn val="ctr"/>
        <c:lblOffset val="100"/>
        <c:noMultiLvlLbl val="0"/>
      </c:catAx>
      <c:valAx>
        <c:axId val="1762280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52426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13</xdr:row>
      <xdr:rowOff>87465</xdr:rowOff>
    </xdr:from>
    <xdr:to>
      <xdr:col>1</xdr:col>
      <xdr:colOff>599347</xdr:colOff>
      <xdr:row>23</xdr:row>
      <xdr:rowOff>81644</xdr:rowOff>
    </xdr:to>
    <mc:AlternateContent xmlns:mc="http://schemas.openxmlformats.org/markup-compatibility/2006" xmlns:a14="http://schemas.microsoft.com/office/drawing/2010/main">
      <mc:Choice Requires="a14">
        <xdr:graphicFrame macro="">
          <xdr:nvGraphicFramePr>
            <xdr:cNvPr id="6" name="Channel">
              <a:extLst>
                <a:ext uri="{FF2B5EF4-FFF2-40B4-BE49-F238E27FC236}">
                  <a16:creationId xmlns:a16="http://schemas.microsoft.com/office/drawing/2014/main" id="{0A5472C4-8222-40DE-BE09-E8932E615C29}"/>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0" y="2464179"/>
              <a:ext cx="1488347" cy="18084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606931</xdr:colOff>
      <xdr:row>2</xdr:row>
      <xdr:rowOff>58164</xdr:rowOff>
    </xdr:from>
    <xdr:to>
      <xdr:col>7</xdr:col>
      <xdr:colOff>525655</xdr:colOff>
      <xdr:row>6</xdr:row>
      <xdr:rowOff>61564</xdr:rowOff>
    </xdr:to>
    <mc:AlternateContent xmlns:mc="http://schemas.openxmlformats.org/markup-compatibility/2006" xmlns:a14="http://schemas.microsoft.com/office/drawing/2010/main">
      <mc:Choice Requires="a14">
        <xdr:graphicFrame macro="">
          <xdr:nvGraphicFramePr>
            <xdr:cNvPr id="4" name="Product">
              <a:extLst>
                <a:ext uri="{FF2B5EF4-FFF2-40B4-BE49-F238E27FC236}">
                  <a16:creationId xmlns:a16="http://schemas.microsoft.com/office/drawing/2014/main" id="{CDFEAB92-AB2B-4101-8917-38EE8198B69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495931" y="439164"/>
              <a:ext cx="6568081" cy="7291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xdr:row>
      <xdr:rowOff>130736</xdr:rowOff>
    </xdr:from>
    <xdr:to>
      <xdr:col>1</xdr:col>
      <xdr:colOff>605216</xdr:colOff>
      <xdr:row>13</xdr:row>
      <xdr:rowOff>28342</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146025A7-7CF0-4800-86BE-F3886AAD36D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21236"/>
              <a:ext cx="1494216" cy="2083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211189</xdr:colOff>
      <xdr:row>1</xdr:row>
      <xdr:rowOff>188366</xdr:rowOff>
    </xdr:from>
    <xdr:to>
      <xdr:col>11</xdr:col>
      <xdr:colOff>799424</xdr:colOff>
      <xdr:row>6</xdr:row>
      <xdr:rowOff>4031</xdr:rowOff>
    </xdr:to>
    <mc:AlternateContent xmlns:mc="http://schemas.openxmlformats.org/markup-compatibility/2006" xmlns:a14="http://schemas.microsoft.com/office/drawing/2010/main">
      <mc:Choice Requires="a14">
        <xdr:graphicFrame macro="">
          <xdr:nvGraphicFramePr>
            <xdr:cNvPr id="7" name="Month">
              <a:extLst>
                <a:ext uri="{FF2B5EF4-FFF2-40B4-BE49-F238E27FC236}">
                  <a16:creationId xmlns:a16="http://schemas.microsoft.com/office/drawing/2014/main" id="{52416F16-E540-4CC4-B6A8-7622C9B8C4B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638546" y="378866"/>
              <a:ext cx="3908378" cy="731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600314</xdr:colOff>
      <xdr:row>6</xdr:row>
      <xdr:rowOff>31430</xdr:rowOff>
    </xdr:from>
    <xdr:to>
      <xdr:col>4</xdr:col>
      <xdr:colOff>825499</xdr:colOff>
      <xdr:row>24</xdr:row>
      <xdr:rowOff>108857</xdr:rowOff>
    </xdr:to>
    <xdr:graphicFrame macro="">
      <xdr:nvGraphicFramePr>
        <xdr:cNvPr id="8" name="Chart 7">
          <a:extLst>
            <a:ext uri="{FF2B5EF4-FFF2-40B4-BE49-F238E27FC236}">
              <a16:creationId xmlns:a16="http://schemas.microsoft.com/office/drawing/2014/main" id="{7E168904-FCBD-4516-A130-D06725A2A9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884304</xdr:colOff>
      <xdr:row>6</xdr:row>
      <xdr:rowOff>58483</xdr:rowOff>
    </xdr:from>
    <xdr:to>
      <xdr:col>8</xdr:col>
      <xdr:colOff>248130</xdr:colOff>
      <xdr:row>24</xdr:row>
      <xdr:rowOff>117928</xdr:rowOff>
    </xdr:to>
    <xdr:graphicFrame macro="">
      <xdr:nvGraphicFramePr>
        <xdr:cNvPr id="9" name="Chart 8">
          <a:extLst>
            <a:ext uri="{FF2B5EF4-FFF2-40B4-BE49-F238E27FC236}">
              <a16:creationId xmlns:a16="http://schemas.microsoft.com/office/drawing/2014/main" id="{05381B29-ADB0-4BBA-B1D6-D2DA882C2C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299357</xdr:colOff>
      <xdr:row>6</xdr:row>
      <xdr:rowOff>57150</xdr:rowOff>
    </xdr:from>
    <xdr:to>
      <xdr:col>12</xdr:col>
      <xdr:colOff>879928</xdr:colOff>
      <xdr:row>24</xdr:row>
      <xdr:rowOff>99786</xdr:rowOff>
    </xdr:to>
    <xdr:graphicFrame macro="">
      <xdr:nvGraphicFramePr>
        <xdr:cNvPr id="13" name="Chart 12">
          <a:extLst>
            <a:ext uri="{FF2B5EF4-FFF2-40B4-BE49-F238E27FC236}">
              <a16:creationId xmlns:a16="http://schemas.microsoft.com/office/drawing/2014/main" id="{58C4BD62-D87E-9D64-7B11-6AA977A41C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Chougule" refreshedDate="46120.453442361111" createdVersion="8" refreshedVersion="8" minRefreshableVersion="3" recordCount="300" xr:uid="{B6B32028-7F26-4572-8BCF-BEAF0106229D}">
  <cacheSource type="worksheet">
    <worksheetSource name="Table1"/>
  </cacheSource>
  <cacheFields count="12">
    <cacheField name="Date" numFmtId="0">
      <sharedItems/>
    </cacheField>
    <cacheField name="Month" numFmtId="0">
      <sharedItems count="3">
        <s v="February"/>
        <s v="January"/>
        <s v="March"/>
      </sharedItems>
    </cacheField>
    <cacheField name="Product" numFmtId="0">
      <sharedItems count="6">
        <s v="Loan F"/>
        <s v="Loan C"/>
        <s v="Loan B"/>
        <s v="Loan D"/>
        <s v="Loan A"/>
        <s v="Loan E"/>
      </sharedItems>
    </cacheField>
    <cacheField name="Category" numFmtId="0">
      <sharedItems/>
    </cacheField>
    <cacheField name="Region" numFmtId="0">
      <sharedItems count="4">
        <s v="South"/>
        <s v="North"/>
        <s v="West"/>
        <s v="East"/>
      </sharedItems>
    </cacheField>
    <cacheField name="Channel" numFmtId="0">
      <sharedItems count="3">
        <s v="Branch"/>
        <s v="Online"/>
        <s v="Agent"/>
      </sharedItems>
    </cacheField>
    <cacheField name="Units_Sold" numFmtId="0">
      <sharedItems containsSemiMixedTypes="0" containsString="0" containsNumber="1" containsInteger="1" minValue="50" maxValue="200"/>
    </cacheField>
    <cacheField name="Revenue" numFmtId="0">
      <sharedItems containsSemiMixedTypes="0" containsString="0" containsNumber="1" containsInteger="1" minValue="77700" maxValue="479991"/>
    </cacheField>
    <cacheField name="Cost" numFmtId="0">
      <sharedItems containsSemiMixedTypes="0" containsString="0" containsNumber="1" containsInteger="1" minValue="56620" maxValue="367554"/>
    </cacheField>
    <cacheField name="Inventory" numFmtId="0">
      <sharedItems containsSemiMixedTypes="0" containsString="0" containsNumber="1" containsInteger="1" minValue="203" maxValue="997"/>
    </cacheField>
    <cacheField name="profit" numFmtId="0">
      <sharedItems containsSemiMixedTypes="0" containsString="0" containsNumber="1" containsInteger="1" minValue="19023" maxValue="184538"/>
    </cacheField>
    <cacheField name="Profit %" numFmtId="10">
      <sharedItems containsSemiMixedTypes="0" containsString="0" containsNumber="1" minValue="0.15139745257850173" maxValue="0.39877084093951565"/>
    </cacheField>
  </cacheFields>
  <extLst>
    <ext xmlns:x14="http://schemas.microsoft.com/office/spreadsheetml/2009/9/main" uri="{725AE2AE-9491-48be-B2B4-4EB974FC3084}">
      <x14:pivotCacheDefinition pivotCacheId="5909272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06-02-2025"/>
    <x v="0"/>
    <x v="0"/>
    <s v="Finance"/>
    <x v="0"/>
    <x v="0"/>
    <n v="117"/>
    <n v="197262"/>
    <n v="125651"/>
    <n v="944"/>
    <n v="71611"/>
    <n v="0.36302480964402672"/>
  </r>
  <r>
    <s v="15-02-2025"/>
    <x v="0"/>
    <x v="1"/>
    <s v="Finance"/>
    <x v="1"/>
    <x v="1"/>
    <n v="176"/>
    <n v="358512"/>
    <n v="298611"/>
    <n v="927"/>
    <n v="59901"/>
    <n v="0.16708227339670639"/>
  </r>
  <r>
    <s v="12-02-2025"/>
    <x v="0"/>
    <x v="2"/>
    <s v="Finance"/>
    <x v="2"/>
    <x v="1"/>
    <n v="110"/>
    <n v="245190"/>
    <n v="160045"/>
    <n v="479"/>
    <n v="85145"/>
    <n v="0.34726130755740447"/>
  </r>
  <r>
    <s v="16-01-2025"/>
    <x v="1"/>
    <x v="3"/>
    <s v="Finance"/>
    <x v="2"/>
    <x v="0"/>
    <n v="51"/>
    <n v="86853"/>
    <n v="67830"/>
    <n v="289"/>
    <n v="19023"/>
    <n v="0.2190252495596007"/>
  </r>
  <r>
    <s v="02-03-2025"/>
    <x v="2"/>
    <x v="4"/>
    <s v="Finance"/>
    <x v="0"/>
    <x v="1"/>
    <n v="120"/>
    <n v="277320"/>
    <n v="192033"/>
    <n v="578"/>
    <n v="85287"/>
    <n v="0.30754002596278668"/>
  </r>
  <r>
    <s v="23-02-2025"/>
    <x v="0"/>
    <x v="2"/>
    <s v="Finance"/>
    <x v="1"/>
    <x v="0"/>
    <n v="78"/>
    <n v="194610"/>
    <n v="164436"/>
    <n v="607"/>
    <n v="30174"/>
    <n v="0.15504855865577308"/>
  </r>
  <r>
    <s v="09-02-2025"/>
    <x v="0"/>
    <x v="3"/>
    <s v="Finance"/>
    <x v="1"/>
    <x v="1"/>
    <n v="152"/>
    <n v="357048"/>
    <n v="234125"/>
    <n v="657"/>
    <n v="122923"/>
    <n v="0.3442758396630145"/>
  </r>
  <r>
    <s v="02-02-2025"/>
    <x v="0"/>
    <x v="2"/>
    <s v="Finance"/>
    <x v="0"/>
    <x v="0"/>
    <n v="135"/>
    <n v="324945"/>
    <n v="270501"/>
    <n v="456"/>
    <n v="54444"/>
    <n v="0.16754835433688778"/>
  </r>
  <r>
    <s v="13-02-2025"/>
    <x v="0"/>
    <x v="2"/>
    <s v="Finance"/>
    <x v="2"/>
    <x v="0"/>
    <n v="143"/>
    <n v="346918"/>
    <n v="241026"/>
    <n v="816"/>
    <n v="105892"/>
    <n v="0.30523639592064983"/>
  </r>
  <r>
    <s v="12-02-2025"/>
    <x v="0"/>
    <x v="3"/>
    <s v="Finance"/>
    <x v="3"/>
    <x v="2"/>
    <n v="171"/>
    <n v="389538"/>
    <n v="270844"/>
    <n v="353"/>
    <n v="118694"/>
    <n v="0.30470454743824738"/>
  </r>
  <r>
    <s v="16-02-2025"/>
    <x v="0"/>
    <x v="2"/>
    <s v="Finance"/>
    <x v="2"/>
    <x v="1"/>
    <n v="106"/>
    <n v="256096"/>
    <n v="183938"/>
    <n v="409"/>
    <n v="72158"/>
    <n v="0.28176152692740225"/>
  </r>
  <r>
    <s v="27-01-2025"/>
    <x v="1"/>
    <x v="3"/>
    <s v="Finance"/>
    <x v="1"/>
    <x v="2"/>
    <n v="192"/>
    <n v="344448"/>
    <n v="226473"/>
    <n v="963"/>
    <n v="117975"/>
    <n v="0.34250452898550726"/>
  </r>
  <r>
    <s v="21-01-2025"/>
    <x v="1"/>
    <x v="1"/>
    <s v="Finance"/>
    <x v="3"/>
    <x v="2"/>
    <n v="97"/>
    <n v="204185"/>
    <n v="140399"/>
    <n v="322"/>
    <n v="63786"/>
    <n v="0.31239317285794743"/>
  </r>
  <r>
    <s v="24-02-2025"/>
    <x v="0"/>
    <x v="1"/>
    <s v="Finance"/>
    <x v="2"/>
    <x v="0"/>
    <n v="93"/>
    <n v="159402"/>
    <n v="133183"/>
    <n v="268"/>
    <n v="26219"/>
    <n v="0.16448350710781545"/>
  </r>
  <r>
    <s v="08-02-2025"/>
    <x v="0"/>
    <x v="3"/>
    <s v="Finance"/>
    <x v="0"/>
    <x v="0"/>
    <n v="192"/>
    <n v="401856"/>
    <n v="313522"/>
    <n v="717"/>
    <n v="88334"/>
    <n v="0.21981505813027552"/>
  </r>
  <r>
    <s v="07-01-2025"/>
    <x v="1"/>
    <x v="1"/>
    <s v="Finance"/>
    <x v="2"/>
    <x v="0"/>
    <n v="109"/>
    <n v="267704"/>
    <n v="223448"/>
    <n v="680"/>
    <n v="44256"/>
    <n v="0.16531691719212263"/>
  </r>
  <r>
    <s v="09-01-2025"/>
    <x v="1"/>
    <x v="3"/>
    <s v="Finance"/>
    <x v="1"/>
    <x v="2"/>
    <n v="103"/>
    <n v="234222"/>
    <n v="190480"/>
    <n v="365"/>
    <n v="43742"/>
    <n v="0.18675444663609739"/>
  </r>
  <r>
    <s v="28-02-2025"/>
    <x v="0"/>
    <x v="0"/>
    <s v="Finance"/>
    <x v="1"/>
    <x v="2"/>
    <n v="153"/>
    <n v="290394"/>
    <n v="218644"/>
    <n v="387"/>
    <n v="71750"/>
    <n v="0.247078107674401"/>
  </r>
  <r>
    <s v="23-01-2025"/>
    <x v="1"/>
    <x v="0"/>
    <s v="Finance"/>
    <x v="0"/>
    <x v="0"/>
    <n v="96"/>
    <n v="181728"/>
    <n v="117813"/>
    <n v="529"/>
    <n v="63915"/>
    <n v="0.3517069466455362"/>
  </r>
  <r>
    <s v="19-01-2025"/>
    <x v="1"/>
    <x v="0"/>
    <s v="Finance"/>
    <x v="0"/>
    <x v="2"/>
    <n v="91"/>
    <n v="179998"/>
    <n v="140264"/>
    <n v="925"/>
    <n v="39734"/>
    <n v="0.22074689718774654"/>
  </r>
  <r>
    <s v="16-01-2025"/>
    <x v="1"/>
    <x v="0"/>
    <s v="Finance"/>
    <x v="0"/>
    <x v="2"/>
    <n v="128"/>
    <n v="305536"/>
    <n v="220171"/>
    <n v="681"/>
    <n v="85365"/>
    <n v="0.27939424486803521"/>
  </r>
  <r>
    <s v="27-01-2025"/>
    <x v="1"/>
    <x v="4"/>
    <s v="Finance"/>
    <x v="1"/>
    <x v="2"/>
    <n v="59"/>
    <n v="126673"/>
    <n v="89839"/>
    <n v="649"/>
    <n v="36834"/>
    <n v="0.29078019783221365"/>
  </r>
  <r>
    <s v="17-02-2025"/>
    <x v="0"/>
    <x v="5"/>
    <s v="Finance"/>
    <x v="2"/>
    <x v="1"/>
    <n v="52"/>
    <n v="101504"/>
    <n v="69187"/>
    <n v="709"/>
    <n v="32317"/>
    <n v="0.31838154161412358"/>
  </r>
  <r>
    <s v="25-01-2025"/>
    <x v="1"/>
    <x v="5"/>
    <s v="Finance"/>
    <x v="3"/>
    <x v="2"/>
    <n v="91"/>
    <n v="159705"/>
    <n v="117382"/>
    <n v="674"/>
    <n v="42323"/>
    <n v="0.2650073573150496"/>
  </r>
  <r>
    <s v="21-01-2025"/>
    <x v="1"/>
    <x v="3"/>
    <s v="Finance"/>
    <x v="2"/>
    <x v="2"/>
    <n v="125"/>
    <n v="213875"/>
    <n v="166122"/>
    <n v="437"/>
    <n v="47753"/>
    <n v="0.22327527761542956"/>
  </r>
  <r>
    <s v="02-01-2025"/>
    <x v="1"/>
    <x v="2"/>
    <s v="Finance"/>
    <x v="2"/>
    <x v="0"/>
    <n v="119"/>
    <n v="290122"/>
    <n v="182198"/>
    <n v="532"/>
    <n v="107924"/>
    <n v="0.37199522959306774"/>
  </r>
  <r>
    <s v="15-02-2025"/>
    <x v="0"/>
    <x v="2"/>
    <s v="Finance"/>
    <x v="2"/>
    <x v="2"/>
    <n v="131"/>
    <n v="278637"/>
    <n v="188504"/>
    <n v="461"/>
    <n v="90133"/>
    <n v="0.32347821717862307"/>
  </r>
  <r>
    <s v="14-01-2025"/>
    <x v="1"/>
    <x v="2"/>
    <s v="Finance"/>
    <x v="0"/>
    <x v="1"/>
    <n v="157"/>
    <n v="239111"/>
    <n v="176497"/>
    <n v="889"/>
    <n v="62614"/>
    <n v="0.26186164584648969"/>
  </r>
  <r>
    <s v="14-01-2025"/>
    <x v="1"/>
    <x v="5"/>
    <s v="Finance"/>
    <x v="3"/>
    <x v="2"/>
    <n v="108"/>
    <n v="241272"/>
    <n v="186214"/>
    <n v="978"/>
    <n v="55058"/>
    <n v="0.22819887927318544"/>
  </r>
  <r>
    <s v="06-01-2025"/>
    <x v="1"/>
    <x v="0"/>
    <s v="Finance"/>
    <x v="0"/>
    <x v="1"/>
    <n v="128"/>
    <n v="316544"/>
    <n v="191433"/>
    <n v="789"/>
    <n v="125111"/>
    <n v="0.39524047209866559"/>
  </r>
  <r>
    <s v="26-02-2025"/>
    <x v="0"/>
    <x v="4"/>
    <s v="Finance"/>
    <x v="3"/>
    <x v="2"/>
    <n v="123"/>
    <n v="204795"/>
    <n v="134152"/>
    <n v="385"/>
    <n v="70643"/>
    <n v="0.34494494494494493"/>
  </r>
  <r>
    <s v="27-01-2025"/>
    <x v="1"/>
    <x v="0"/>
    <s v="Finance"/>
    <x v="0"/>
    <x v="2"/>
    <n v="123"/>
    <n v="216849"/>
    <n v="166174"/>
    <n v="510"/>
    <n v="50675"/>
    <n v="0.23368795797997685"/>
  </r>
  <r>
    <s v="02-03-2025"/>
    <x v="2"/>
    <x v="4"/>
    <s v="Finance"/>
    <x v="2"/>
    <x v="2"/>
    <n v="82"/>
    <n v="189256"/>
    <n v="155041"/>
    <n v="848"/>
    <n v="34215"/>
    <n v="0.18078687069366361"/>
  </r>
  <r>
    <s v="16-02-2025"/>
    <x v="0"/>
    <x v="5"/>
    <s v="Finance"/>
    <x v="1"/>
    <x v="2"/>
    <n v="117"/>
    <n v="203814"/>
    <n v="155005"/>
    <n v="877"/>
    <n v="48809"/>
    <n v="0.23947815164807129"/>
  </r>
  <r>
    <s v="08-02-2025"/>
    <x v="0"/>
    <x v="1"/>
    <s v="Finance"/>
    <x v="3"/>
    <x v="1"/>
    <n v="163"/>
    <n v="295356"/>
    <n v="203656"/>
    <n v="336"/>
    <n v="91700"/>
    <n v="0.31047278538441747"/>
  </r>
  <r>
    <s v="05-01-2025"/>
    <x v="1"/>
    <x v="3"/>
    <s v="Finance"/>
    <x v="0"/>
    <x v="1"/>
    <n v="159"/>
    <n v="256944"/>
    <n v="208079"/>
    <n v="340"/>
    <n v="48865"/>
    <n v="0.19017762625319135"/>
  </r>
  <r>
    <s v="10-01-2025"/>
    <x v="1"/>
    <x v="1"/>
    <s v="Finance"/>
    <x v="3"/>
    <x v="2"/>
    <n v="84"/>
    <n v="131124"/>
    <n v="89867"/>
    <n v="364"/>
    <n v="41257"/>
    <n v="0.31464110307800253"/>
  </r>
  <r>
    <s v="05-02-2025"/>
    <x v="0"/>
    <x v="2"/>
    <s v="Finance"/>
    <x v="1"/>
    <x v="1"/>
    <n v="51"/>
    <n v="107610"/>
    <n v="81029"/>
    <n v="203"/>
    <n v="26581"/>
    <n v="0.24701235944614813"/>
  </r>
  <r>
    <s v="02-01-2025"/>
    <x v="1"/>
    <x v="5"/>
    <s v="Finance"/>
    <x v="2"/>
    <x v="2"/>
    <n v="159"/>
    <n v="295899"/>
    <n v="242751"/>
    <n v="740"/>
    <n v="53148"/>
    <n v="0.17961534172133059"/>
  </r>
  <r>
    <s v="04-01-2025"/>
    <x v="1"/>
    <x v="1"/>
    <s v="Finance"/>
    <x v="1"/>
    <x v="1"/>
    <n v="124"/>
    <n v="191084"/>
    <n v="133920"/>
    <n v="686"/>
    <n v="57164"/>
    <n v="0.29915639195327709"/>
  </r>
  <r>
    <s v="25-02-2025"/>
    <x v="0"/>
    <x v="2"/>
    <s v="Finance"/>
    <x v="1"/>
    <x v="2"/>
    <n v="169"/>
    <n v="372983"/>
    <n v="313216"/>
    <n v="691"/>
    <n v="59767"/>
    <n v="0.1602405471563047"/>
  </r>
  <r>
    <s v="17-01-2025"/>
    <x v="1"/>
    <x v="3"/>
    <s v="Finance"/>
    <x v="3"/>
    <x v="2"/>
    <n v="59"/>
    <n v="107380"/>
    <n v="84969"/>
    <n v="557"/>
    <n v="22411"/>
    <n v="0.20870739430061463"/>
  </r>
  <r>
    <s v="22-02-2025"/>
    <x v="0"/>
    <x v="4"/>
    <s v="Finance"/>
    <x v="0"/>
    <x v="2"/>
    <n v="129"/>
    <n v="255678"/>
    <n v="184011"/>
    <n v="514"/>
    <n v="71667"/>
    <n v="0.28030178584000187"/>
  </r>
  <r>
    <s v="04-02-2025"/>
    <x v="0"/>
    <x v="2"/>
    <s v="Finance"/>
    <x v="0"/>
    <x v="0"/>
    <n v="137"/>
    <n v="299893"/>
    <n v="206309"/>
    <n v="846"/>
    <n v="93584"/>
    <n v="0.31205796734168523"/>
  </r>
  <r>
    <s v="14-01-2025"/>
    <x v="1"/>
    <x v="0"/>
    <s v="Finance"/>
    <x v="1"/>
    <x v="1"/>
    <n v="176"/>
    <n v="292512"/>
    <n v="194381"/>
    <n v="620"/>
    <n v="98131"/>
    <n v="0.3354768351383875"/>
  </r>
  <r>
    <s v="25-02-2025"/>
    <x v="0"/>
    <x v="1"/>
    <s v="Finance"/>
    <x v="2"/>
    <x v="0"/>
    <n v="99"/>
    <n v="177210"/>
    <n v="125198"/>
    <n v="854"/>
    <n v="52012"/>
    <n v="0.2935048812143784"/>
  </r>
  <r>
    <s v="14-01-2025"/>
    <x v="1"/>
    <x v="5"/>
    <s v="Finance"/>
    <x v="2"/>
    <x v="0"/>
    <n v="59"/>
    <n v="119534"/>
    <n v="96265"/>
    <n v="355"/>
    <n v="23269"/>
    <n v="0.19466427961918784"/>
  </r>
  <r>
    <s v="23-01-2025"/>
    <x v="1"/>
    <x v="3"/>
    <s v="Finance"/>
    <x v="1"/>
    <x v="2"/>
    <n v="157"/>
    <n v="264859"/>
    <n v="172778"/>
    <n v="468"/>
    <n v="92081"/>
    <n v="0.34766045329779244"/>
  </r>
  <r>
    <s v="08-02-2025"/>
    <x v="0"/>
    <x v="0"/>
    <s v="Finance"/>
    <x v="0"/>
    <x v="2"/>
    <n v="159"/>
    <n v="288585"/>
    <n v="201480"/>
    <n v="782"/>
    <n v="87105"/>
    <n v="0.30183481469930867"/>
  </r>
  <r>
    <s v="14-01-2025"/>
    <x v="1"/>
    <x v="0"/>
    <s v="Finance"/>
    <x v="1"/>
    <x v="2"/>
    <n v="177"/>
    <n v="341610"/>
    <n v="225415"/>
    <n v="599"/>
    <n v="116195"/>
    <n v="0.34013934018324993"/>
  </r>
  <r>
    <s v="09-02-2025"/>
    <x v="0"/>
    <x v="2"/>
    <s v="Finance"/>
    <x v="0"/>
    <x v="1"/>
    <n v="106"/>
    <n v="170872"/>
    <n v="131952"/>
    <n v="971"/>
    <n v="38920"/>
    <n v="0.22777283580691979"/>
  </r>
  <r>
    <s v="04-02-2025"/>
    <x v="0"/>
    <x v="2"/>
    <s v="Finance"/>
    <x v="0"/>
    <x v="2"/>
    <n v="111"/>
    <n v="234543"/>
    <n v="164906"/>
    <n v="662"/>
    <n v="69637"/>
    <n v="0.29690504513031724"/>
  </r>
  <r>
    <s v="02-01-2025"/>
    <x v="1"/>
    <x v="5"/>
    <s v="Finance"/>
    <x v="2"/>
    <x v="0"/>
    <n v="110"/>
    <n v="271480"/>
    <n v="198010"/>
    <n v="915"/>
    <n v="73470"/>
    <n v="0.27062767054663328"/>
  </r>
  <r>
    <s v="23-02-2025"/>
    <x v="0"/>
    <x v="4"/>
    <s v="Finance"/>
    <x v="3"/>
    <x v="1"/>
    <n v="135"/>
    <n v="290925"/>
    <n v="187560"/>
    <n v="850"/>
    <n v="103365"/>
    <n v="0.35529775715390566"/>
  </r>
  <r>
    <s v="05-01-2025"/>
    <x v="1"/>
    <x v="3"/>
    <s v="Finance"/>
    <x v="0"/>
    <x v="2"/>
    <n v="66"/>
    <n v="108372"/>
    <n v="72617"/>
    <n v="255"/>
    <n v="35755"/>
    <n v="0.3299283947883217"/>
  </r>
  <r>
    <s v="01-02-2025"/>
    <x v="0"/>
    <x v="3"/>
    <s v="Finance"/>
    <x v="1"/>
    <x v="2"/>
    <n v="62"/>
    <n v="144894"/>
    <n v="98504"/>
    <n v="997"/>
    <n v="46390"/>
    <n v="0.32016508620094691"/>
  </r>
  <r>
    <s v="04-02-2025"/>
    <x v="0"/>
    <x v="1"/>
    <s v="Finance"/>
    <x v="2"/>
    <x v="1"/>
    <n v="65"/>
    <n v="133380"/>
    <n v="105518"/>
    <n v="591"/>
    <n v="27862"/>
    <n v="0.20889188783925627"/>
  </r>
  <r>
    <s v="07-02-2025"/>
    <x v="0"/>
    <x v="2"/>
    <s v="Finance"/>
    <x v="1"/>
    <x v="1"/>
    <n v="130"/>
    <n v="301210"/>
    <n v="252741"/>
    <n v="355"/>
    <n v="48469"/>
    <n v="0.16091431227382888"/>
  </r>
  <r>
    <s v="22-01-2025"/>
    <x v="1"/>
    <x v="2"/>
    <s v="Finance"/>
    <x v="0"/>
    <x v="2"/>
    <n v="182"/>
    <n v="424424"/>
    <n v="357097"/>
    <n v="604"/>
    <n v="67327"/>
    <n v="0.1586314628767459"/>
  </r>
  <r>
    <s v="05-02-2025"/>
    <x v="0"/>
    <x v="3"/>
    <s v="Finance"/>
    <x v="2"/>
    <x v="0"/>
    <n v="183"/>
    <n v="290970"/>
    <n v="203505"/>
    <n v="474"/>
    <n v="87465"/>
    <n v="0.30059799979379315"/>
  </r>
  <r>
    <s v="18-01-2025"/>
    <x v="1"/>
    <x v="5"/>
    <s v="Finance"/>
    <x v="2"/>
    <x v="0"/>
    <n v="189"/>
    <n v="471933"/>
    <n v="301220"/>
    <n v="372"/>
    <n v="170713"/>
    <n v="0.36173143221601373"/>
  </r>
  <r>
    <s v="27-02-2025"/>
    <x v="0"/>
    <x v="2"/>
    <s v="Finance"/>
    <x v="1"/>
    <x v="2"/>
    <n v="85"/>
    <n v="128350"/>
    <n v="79975"/>
    <n v="864"/>
    <n v="48375"/>
    <n v="0.3768991040124659"/>
  </r>
  <r>
    <s v="22-02-2025"/>
    <x v="0"/>
    <x v="5"/>
    <s v="Finance"/>
    <x v="1"/>
    <x v="2"/>
    <n v="150"/>
    <n v="270900"/>
    <n v="170216"/>
    <n v="364"/>
    <n v="100684"/>
    <n v="0.37166482096714654"/>
  </r>
  <r>
    <s v="31-01-2025"/>
    <x v="1"/>
    <x v="4"/>
    <s v="Finance"/>
    <x v="3"/>
    <x v="2"/>
    <n v="64"/>
    <n v="147264"/>
    <n v="118579"/>
    <n v="762"/>
    <n v="28685"/>
    <n v="0.19478623424598002"/>
  </r>
  <r>
    <s v="12-02-2025"/>
    <x v="0"/>
    <x v="4"/>
    <s v="Finance"/>
    <x v="3"/>
    <x v="1"/>
    <n v="52"/>
    <n v="115492"/>
    <n v="79040"/>
    <n v="714"/>
    <n v="36452"/>
    <n v="0.3156235929761369"/>
  </r>
  <r>
    <s v="09-02-2025"/>
    <x v="0"/>
    <x v="1"/>
    <s v="Finance"/>
    <x v="3"/>
    <x v="1"/>
    <n v="85"/>
    <n v="202045"/>
    <n v="153546"/>
    <n v="549"/>
    <n v="48499"/>
    <n v="0.24004058501818901"/>
  </r>
  <r>
    <s v="21-01-2025"/>
    <x v="1"/>
    <x v="4"/>
    <s v="Finance"/>
    <x v="1"/>
    <x v="1"/>
    <n v="59"/>
    <n v="108560"/>
    <n v="80664"/>
    <n v="560"/>
    <n v="27896"/>
    <n v="0.25696389093588801"/>
  </r>
  <r>
    <s v="14-01-2025"/>
    <x v="1"/>
    <x v="4"/>
    <s v="Finance"/>
    <x v="0"/>
    <x v="0"/>
    <n v="85"/>
    <n v="199410"/>
    <n v="122075"/>
    <n v="396"/>
    <n v="77335"/>
    <n v="0.387819066245424"/>
  </r>
  <r>
    <s v="26-02-2025"/>
    <x v="0"/>
    <x v="3"/>
    <s v="Finance"/>
    <x v="1"/>
    <x v="1"/>
    <n v="101"/>
    <n v="187557"/>
    <n v="121126"/>
    <n v="370"/>
    <n v="66431"/>
    <n v="0.35419099260491477"/>
  </r>
  <r>
    <s v="26-01-2025"/>
    <x v="1"/>
    <x v="5"/>
    <s v="Finance"/>
    <x v="3"/>
    <x v="1"/>
    <n v="89"/>
    <n v="148363"/>
    <n v="117533"/>
    <n v="319"/>
    <n v="30830"/>
    <n v="0.2078011364019331"/>
  </r>
  <r>
    <s v="13-01-2025"/>
    <x v="1"/>
    <x v="0"/>
    <s v="Finance"/>
    <x v="0"/>
    <x v="1"/>
    <n v="69"/>
    <n v="172017"/>
    <n v="121895"/>
    <n v="335"/>
    <n v="50122"/>
    <n v="0.29137817773824681"/>
  </r>
  <r>
    <s v="10-02-2025"/>
    <x v="0"/>
    <x v="1"/>
    <s v="Finance"/>
    <x v="0"/>
    <x v="1"/>
    <n v="172"/>
    <n v="279844"/>
    <n v="223183"/>
    <n v="809"/>
    <n v="56661"/>
    <n v="0.20247352096167864"/>
  </r>
  <r>
    <s v="30-01-2025"/>
    <x v="1"/>
    <x v="3"/>
    <s v="Finance"/>
    <x v="0"/>
    <x v="1"/>
    <n v="67"/>
    <n v="139092"/>
    <n v="116572"/>
    <n v="967"/>
    <n v="22520"/>
    <n v="0.16190722687142323"/>
  </r>
  <r>
    <s v="02-01-2025"/>
    <x v="1"/>
    <x v="4"/>
    <s v="Finance"/>
    <x v="3"/>
    <x v="1"/>
    <n v="77"/>
    <n v="163625"/>
    <n v="101307"/>
    <n v="219"/>
    <n v="62318"/>
    <n v="0.3808586707410237"/>
  </r>
  <r>
    <s v="20-02-2025"/>
    <x v="0"/>
    <x v="5"/>
    <s v="Finance"/>
    <x v="0"/>
    <x v="0"/>
    <n v="155"/>
    <n v="307830"/>
    <n v="209792"/>
    <n v="700"/>
    <n v="98038"/>
    <n v="0.3184809797615567"/>
  </r>
  <r>
    <s v="05-02-2025"/>
    <x v="0"/>
    <x v="4"/>
    <s v="Finance"/>
    <x v="1"/>
    <x v="2"/>
    <n v="117"/>
    <n v="240669"/>
    <n v="149706"/>
    <n v="420"/>
    <n v="90963"/>
    <n v="0.37795893945626569"/>
  </r>
  <r>
    <s v="05-01-2025"/>
    <x v="1"/>
    <x v="4"/>
    <s v="Finance"/>
    <x v="1"/>
    <x v="1"/>
    <n v="185"/>
    <n v="301920"/>
    <n v="239875"/>
    <n v="529"/>
    <n v="62045"/>
    <n v="0.20550145733969263"/>
  </r>
  <r>
    <s v="10-01-2025"/>
    <x v="1"/>
    <x v="5"/>
    <s v="Finance"/>
    <x v="1"/>
    <x v="1"/>
    <n v="100"/>
    <n v="174600"/>
    <n v="119302"/>
    <n v="215"/>
    <n v="55298"/>
    <n v="0.31671248568155785"/>
  </r>
  <r>
    <s v="19-02-2025"/>
    <x v="0"/>
    <x v="0"/>
    <s v="Finance"/>
    <x v="2"/>
    <x v="0"/>
    <n v="130"/>
    <n v="205400"/>
    <n v="143797"/>
    <n v="580"/>
    <n v="61603"/>
    <n v="0.29991723466407011"/>
  </r>
  <r>
    <s v="12-02-2025"/>
    <x v="0"/>
    <x v="1"/>
    <s v="Finance"/>
    <x v="1"/>
    <x v="1"/>
    <n v="145"/>
    <n v="345825"/>
    <n v="275456"/>
    <n v="541"/>
    <n v="70369"/>
    <n v="0.20348152967541386"/>
  </r>
  <r>
    <s v="31-01-2025"/>
    <x v="1"/>
    <x v="5"/>
    <s v="Finance"/>
    <x v="2"/>
    <x v="2"/>
    <n v="199"/>
    <n v="395811"/>
    <n v="318888"/>
    <n v="446"/>
    <n v="76923"/>
    <n v="0.19434275449646421"/>
  </r>
  <r>
    <s v="12-01-2025"/>
    <x v="1"/>
    <x v="4"/>
    <s v="Finance"/>
    <x v="2"/>
    <x v="1"/>
    <n v="171"/>
    <n v="368847"/>
    <n v="246901"/>
    <n v="623"/>
    <n v="121946"/>
    <n v="0.33061404864347549"/>
  </r>
  <r>
    <s v="04-02-2025"/>
    <x v="0"/>
    <x v="3"/>
    <s v="Finance"/>
    <x v="0"/>
    <x v="0"/>
    <n v="70"/>
    <n v="144690"/>
    <n v="118568"/>
    <n v="261"/>
    <n v="26122"/>
    <n v="0.18053770129241828"/>
  </r>
  <r>
    <s v="05-02-2025"/>
    <x v="0"/>
    <x v="4"/>
    <s v="Finance"/>
    <x v="1"/>
    <x v="1"/>
    <n v="125"/>
    <n v="211000"/>
    <n v="165978"/>
    <n v="950"/>
    <n v="45022"/>
    <n v="0.21337440758293838"/>
  </r>
  <r>
    <s v="17-01-2025"/>
    <x v="1"/>
    <x v="1"/>
    <s v="Finance"/>
    <x v="1"/>
    <x v="0"/>
    <n v="112"/>
    <n v="248192"/>
    <n v="176782"/>
    <n v="581"/>
    <n v="71410"/>
    <n v="0.28772079680247548"/>
  </r>
  <r>
    <s v="19-01-2025"/>
    <x v="1"/>
    <x v="4"/>
    <s v="Finance"/>
    <x v="1"/>
    <x v="0"/>
    <n v="142"/>
    <n v="330292"/>
    <n v="238114"/>
    <n v="500"/>
    <n v="92178"/>
    <n v="0.27908032892107587"/>
  </r>
  <r>
    <s v="05-02-2025"/>
    <x v="0"/>
    <x v="1"/>
    <s v="Finance"/>
    <x v="1"/>
    <x v="2"/>
    <n v="124"/>
    <n v="259532"/>
    <n v="188105"/>
    <n v="899"/>
    <n v="71427"/>
    <n v="0.27521461707997474"/>
  </r>
  <r>
    <s v="05-01-2025"/>
    <x v="1"/>
    <x v="4"/>
    <s v="Finance"/>
    <x v="1"/>
    <x v="1"/>
    <n v="63"/>
    <n v="132741"/>
    <n v="92678"/>
    <n v="387"/>
    <n v="40063"/>
    <n v="0.30181330561017322"/>
  </r>
  <r>
    <s v="24-01-2025"/>
    <x v="1"/>
    <x v="1"/>
    <s v="Finance"/>
    <x v="0"/>
    <x v="0"/>
    <n v="52"/>
    <n v="129844"/>
    <n v="90332"/>
    <n v="882"/>
    <n v="39512"/>
    <n v="0.30430362588952897"/>
  </r>
  <r>
    <s v="21-01-2025"/>
    <x v="1"/>
    <x v="1"/>
    <s v="Finance"/>
    <x v="0"/>
    <x v="2"/>
    <n v="185"/>
    <n v="406815"/>
    <n v="272471"/>
    <n v="253"/>
    <n v="134344"/>
    <n v="0.33023364428548602"/>
  </r>
  <r>
    <s v="25-02-2025"/>
    <x v="0"/>
    <x v="4"/>
    <s v="Finance"/>
    <x v="2"/>
    <x v="1"/>
    <n v="161"/>
    <n v="329728"/>
    <n v="252317"/>
    <n v="372"/>
    <n v="77411"/>
    <n v="0.23477229716614906"/>
  </r>
  <r>
    <s v="25-01-2025"/>
    <x v="1"/>
    <x v="5"/>
    <s v="Finance"/>
    <x v="0"/>
    <x v="2"/>
    <n v="57"/>
    <n v="109896"/>
    <n v="75381"/>
    <n v="224"/>
    <n v="34515"/>
    <n v="0.31406966586590956"/>
  </r>
  <r>
    <s v="30-01-2025"/>
    <x v="1"/>
    <x v="2"/>
    <s v="Finance"/>
    <x v="2"/>
    <x v="0"/>
    <n v="116"/>
    <n v="215064"/>
    <n v="170539"/>
    <n v="947"/>
    <n v="44525"/>
    <n v="0.20703139530558345"/>
  </r>
  <r>
    <s v="01-03-2025"/>
    <x v="2"/>
    <x v="0"/>
    <s v="Finance"/>
    <x v="0"/>
    <x v="0"/>
    <n v="63"/>
    <n v="124803"/>
    <n v="81025"/>
    <n v="313"/>
    <n v="43778"/>
    <n v="0.35077682427505746"/>
  </r>
  <r>
    <s v="05-02-2025"/>
    <x v="0"/>
    <x v="1"/>
    <s v="Finance"/>
    <x v="3"/>
    <x v="0"/>
    <n v="138"/>
    <n v="224940"/>
    <n v="182835"/>
    <n v="373"/>
    <n v="42105"/>
    <n v="0.18718324886636437"/>
  </r>
  <r>
    <s v="10-01-2025"/>
    <x v="1"/>
    <x v="5"/>
    <s v="Finance"/>
    <x v="2"/>
    <x v="0"/>
    <n v="147"/>
    <n v="364707"/>
    <n v="224050"/>
    <n v="621"/>
    <n v="140657"/>
    <n v="0.38567123745911103"/>
  </r>
  <r>
    <s v="05-02-2025"/>
    <x v="0"/>
    <x v="3"/>
    <s v="Finance"/>
    <x v="3"/>
    <x v="0"/>
    <n v="95"/>
    <n v="221445"/>
    <n v="178095"/>
    <n v="249"/>
    <n v="43350"/>
    <n v="0.19575966944387996"/>
  </r>
  <r>
    <s v="14-02-2025"/>
    <x v="0"/>
    <x v="1"/>
    <s v="Finance"/>
    <x v="0"/>
    <x v="1"/>
    <n v="115"/>
    <n v="252885"/>
    <n v="212044"/>
    <n v="628"/>
    <n v="40841"/>
    <n v="0.16150028669157918"/>
  </r>
  <r>
    <s v="03-01-2025"/>
    <x v="1"/>
    <x v="2"/>
    <s v="Finance"/>
    <x v="1"/>
    <x v="1"/>
    <n v="178"/>
    <n v="279460"/>
    <n v="233576"/>
    <n v="255"/>
    <n v="45884"/>
    <n v="0.16418807700565377"/>
  </r>
  <r>
    <s v="14-02-2025"/>
    <x v="0"/>
    <x v="4"/>
    <s v="Finance"/>
    <x v="1"/>
    <x v="1"/>
    <n v="74"/>
    <n v="125060"/>
    <n v="97741"/>
    <n v="288"/>
    <n v="27319"/>
    <n v="0.21844714537022231"/>
  </r>
  <r>
    <s v="04-01-2025"/>
    <x v="1"/>
    <x v="0"/>
    <s v="Finance"/>
    <x v="2"/>
    <x v="1"/>
    <n v="197"/>
    <n v="400304"/>
    <n v="272424"/>
    <n v="206"/>
    <n v="127880"/>
    <n v="0.31945721251848597"/>
  </r>
  <r>
    <s v="27-01-2025"/>
    <x v="1"/>
    <x v="3"/>
    <s v="Finance"/>
    <x v="2"/>
    <x v="1"/>
    <n v="121"/>
    <n v="302016"/>
    <n v="201586"/>
    <n v="815"/>
    <n v="100430"/>
    <n v="0.33253205128205127"/>
  </r>
  <r>
    <s v="04-02-2025"/>
    <x v="0"/>
    <x v="2"/>
    <s v="Finance"/>
    <x v="1"/>
    <x v="2"/>
    <n v="165"/>
    <n v="287430"/>
    <n v="226751"/>
    <n v="764"/>
    <n v="60679"/>
    <n v="0.21110879170580663"/>
  </r>
  <r>
    <s v="03-02-2025"/>
    <x v="0"/>
    <x v="1"/>
    <s v="Finance"/>
    <x v="3"/>
    <x v="0"/>
    <n v="130"/>
    <n v="213070"/>
    <n v="174444"/>
    <n v="523"/>
    <n v="38626"/>
    <n v="0.18128314638381751"/>
  </r>
  <r>
    <s v="08-02-2025"/>
    <x v="0"/>
    <x v="1"/>
    <s v="Finance"/>
    <x v="3"/>
    <x v="0"/>
    <n v="100"/>
    <n v="201200"/>
    <n v="150946"/>
    <n v="972"/>
    <n v="50254"/>
    <n v="0.24977137176938369"/>
  </r>
  <r>
    <s v="27-01-2025"/>
    <x v="1"/>
    <x v="3"/>
    <s v="Finance"/>
    <x v="0"/>
    <x v="0"/>
    <n v="115"/>
    <n v="278760"/>
    <n v="205884"/>
    <n v="591"/>
    <n v="72876"/>
    <n v="0.26142918639690055"/>
  </r>
  <r>
    <s v="01-02-2025"/>
    <x v="0"/>
    <x v="5"/>
    <s v="Finance"/>
    <x v="1"/>
    <x v="2"/>
    <n v="153"/>
    <n v="246636"/>
    <n v="208648"/>
    <n v="593"/>
    <n v="37988"/>
    <n v="0.15402455440406104"/>
  </r>
  <r>
    <s v="21-01-2025"/>
    <x v="1"/>
    <x v="2"/>
    <s v="Finance"/>
    <x v="2"/>
    <x v="2"/>
    <n v="118"/>
    <n v="288274"/>
    <n v="244134"/>
    <n v="477"/>
    <n v="44140"/>
    <n v="0.15311821392147748"/>
  </r>
  <r>
    <s v="13-02-2025"/>
    <x v="0"/>
    <x v="4"/>
    <s v="Finance"/>
    <x v="2"/>
    <x v="1"/>
    <n v="135"/>
    <n v="308880"/>
    <n v="233414"/>
    <n v="664"/>
    <n v="75466"/>
    <n v="0.24432141932141932"/>
  </r>
  <r>
    <s v="24-01-2025"/>
    <x v="1"/>
    <x v="0"/>
    <s v="Finance"/>
    <x v="3"/>
    <x v="2"/>
    <n v="102"/>
    <n v="235314"/>
    <n v="185703"/>
    <n v="758"/>
    <n v="49611"/>
    <n v="0.2108289349549963"/>
  </r>
  <r>
    <s v="10-01-2025"/>
    <x v="1"/>
    <x v="2"/>
    <s v="Finance"/>
    <x v="2"/>
    <x v="2"/>
    <n v="57"/>
    <n v="92397"/>
    <n v="71628"/>
    <n v="883"/>
    <n v="20769"/>
    <n v="0.22478002532549757"/>
  </r>
  <r>
    <s v="18-02-2025"/>
    <x v="0"/>
    <x v="0"/>
    <s v="Finance"/>
    <x v="0"/>
    <x v="0"/>
    <n v="67"/>
    <n v="140298"/>
    <n v="113059"/>
    <n v="712"/>
    <n v="27239"/>
    <n v="0.19415102139731144"/>
  </r>
  <r>
    <s v="10-01-2025"/>
    <x v="1"/>
    <x v="5"/>
    <s v="Finance"/>
    <x v="2"/>
    <x v="0"/>
    <n v="70"/>
    <n v="127820"/>
    <n v="86372"/>
    <n v="335"/>
    <n v="41448"/>
    <n v="0.3242685025817556"/>
  </r>
  <r>
    <s v="12-02-2025"/>
    <x v="0"/>
    <x v="5"/>
    <s v="Finance"/>
    <x v="1"/>
    <x v="1"/>
    <n v="179"/>
    <n v="351735"/>
    <n v="281143"/>
    <n v="687"/>
    <n v="70592"/>
    <n v="0.20069654711643709"/>
  </r>
  <r>
    <s v="14-02-2025"/>
    <x v="0"/>
    <x v="1"/>
    <s v="Finance"/>
    <x v="2"/>
    <x v="0"/>
    <n v="163"/>
    <n v="264386"/>
    <n v="219275"/>
    <n v="566"/>
    <n v="45111"/>
    <n v="0.17062552480085935"/>
  </r>
  <r>
    <s v="13-01-2025"/>
    <x v="1"/>
    <x v="2"/>
    <s v="Finance"/>
    <x v="3"/>
    <x v="0"/>
    <n v="147"/>
    <n v="332514"/>
    <n v="241663"/>
    <n v="744"/>
    <n v="90851"/>
    <n v="0.2732245860324678"/>
  </r>
  <r>
    <s v="13-01-2025"/>
    <x v="1"/>
    <x v="2"/>
    <s v="Finance"/>
    <x v="2"/>
    <x v="2"/>
    <n v="119"/>
    <n v="289051"/>
    <n v="228676"/>
    <n v="507"/>
    <n v="60375"/>
    <n v="0.20887317463008259"/>
  </r>
  <r>
    <s v="21-02-2025"/>
    <x v="0"/>
    <x v="5"/>
    <s v="Finance"/>
    <x v="1"/>
    <x v="2"/>
    <n v="79"/>
    <n v="137144"/>
    <n v="111359"/>
    <n v="521"/>
    <n v="25785"/>
    <n v="0.18801405821618153"/>
  </r>
  <r>
    <s v="03-01-2025"/>
    <x v="1"/>
    <x v="4"/>
    <s v="Finance"/>
    <x v="2"/>
    <x v="2"/>
    <n v="99"/>
    <n v="232155"/>
    <n v="152162"/>
    <n v="798"/>
    <n v="79993"/>
    <n v="0.34456720725377443"/>
  </r>
  <r>
    <s v="25-02-2025"/>
    <x v="0"/>
    <x v="2"/>
    <s v="Finance"/>
    <x v="0"/>
    <x v="0"/>
    <n v="181"/>
    <n v="404173"/>
    <n v="269202"/>
    <n v="454"/>
    <n v="134971"/>
    <n v="0.33394363304822439"/>
  </r>
  <r>
    <s v="02-01-2025"/>
    <x v="1"/>
    <x v="2"/>
    <s v="Finance"/>
    <x v="3"/>
    <x v="1"/>
    <n v="179"/>
    <n v="320410"/>
    <n v="256308"/>
    <n v="961"/>
    <n v="64102"/>
    <n v="0.20006242002434382"/>
  </r>
  <r>
    <s v="24-01-2025"/>
    <x v="1"/>
    <x v="4"/>
    <s v="Finance"/>
    <x v="0"/>
    <x v="0"/>
    <n v="197"/>
    <n v="448372"/>
    <n v="286837"/>
    <n v="517"/>
    <n v="161535"/>
    <n v="0.36027004362449039"/>
  </r>
  <r>
    <s v="09-02-2025"/>
    <x v="0"/>
    <x v="0"/>
    <s v="Finance"/>
    <x v="1"/>
    <x v="1"/>
    <n v="173"/>
    <n v="363992"/>
    <n v="298781"/>
    <n v="620"/>
    <n v="65211"/>
    <n v="0.17915503637442581"/>
  </r>
  <r>
    <s v="03-02-2025"/>
    <x v="0"/>
    <x v="5"/>
    <s v="Finance"/>
    <x v="2"/>
    <x v="0"/>
    <n v="143"/>
    <n v="275275"/>
    <n v="182294"/>
    <n v="874"/>
    <n v="92981"/>
    <n v="0.33777495232040688"/>
  </r>
  <r>
    <s v="06-02-2025"/>
    <x v="0"/>
    <x v="4"/>
    <s v="Finance"/>
    <x v="1"/>
    <x v="1"/>
    <n v="197"/>
    <n v="397546"/>
    <n v="316734"/>
    <n v="737"/>
    <n v="80812"/>
    <n v="0.20327710503941682"/>
  </r>
  <r>
    <s v="02-01-2025"/>
    <x v="1"/>
    <x v="0"/>
    <s v="Finance"/>
    <x v="2"/>
    <x v="1"/>
    <n v="112"/>
    <n v="240688"/>
    <n v="165914"/>
    <n v="576"/>
    <n v="74774"/>
    <n v="0.31066775244299677"/>
  </r>
  <r>
    <s v="16-02-2025"/>
    <x v="0"/>
    <x v="2"/>
    <s v="Finance"/>
    <x v="1"/>
    <x v="1"/>
    <n v="123"/>
    <n v="187329"/>
    <n v="136776"/>
    <n v="545"/>
    <n v="50553"/>
    <n v="0.26986211424819434"/>
  </r>
  <r>
    <s v="14-01-2025"/>
    <x v="1"/>
    <x v="5"/>
    <s v="Finance"/>
    <x v="3"/>
    <x v="2"/>
    <n v="79"/>
    <n v="168665"/>
    <n v="104701"/>
    <n v="707"/>
    <n v="63964"/>
    <n v="0.37923694898170929"/>
  </r>
  <r>
    <s v="18-01-2025"/>
    <x v="1"/>
    <x v="3"/>
    <s v="Finance"/>
    <x v="0"/>
    <x v="1"/>
    <n v="168"/>
    <n v="278880"/>
    <n v="225332"/>
    <n v="669"/>
    <n v="53548"/>
    <n v="0.19201090074584051"/>
  </r>
  <r>
    <s v="09-01-2025"/>
    <x v="1"/>
    <x v="1"/>
    <s v="Finance"/>
    <x v="3"/>
    <x v="1"/>
    <n v="159"/>
    <n v="395751"/>
    <n v="244775"/>
    <n v="344"/>
    <n v="150976"/>
    <n v="0.38149240305141363"/>
  </r>
  <r>
    <s v="09-02-2025"/>
    <x v="0"/>
    <x v="3"/>
    <s v="Finance"/>
    <x v="0"/>
    <x v="2"/>
    <n v="167"/>
    <n v="355376"/>
    <n v="258120"/>
    <n v="804"/>
    <n v="97256"/>
    <n v="0.27367070370537122"/>
  </r>
  <r>
    <s v="07-02-2025"/>
    <x v="0"/>
    <x v="2"/>
    <s v="Finance"/>
    <x v="3"/>
    <x v="1"/>
    <n v="119"/>
    <n v="219793"/>
    <n v="153321"/>
    <n v="917"/>
    <n v="66472"/>
    <n v="0.30243001369470363"/>
  </r>
  <r>
    <s v="18-01-2025"/>
    <x v="1"/>
    <x v="1"/>
    <s v="Finance"/>
    <x v="3"/>
    <x v="2"/>
    <n v="111"/>
    <n v="237096"/>
    <n v="184019"/>
    <n v="219"/>
    <n v="53077"/>
    <n v="0.2238629078516719"/>
  </r>
  <r>
    <s v="08-02-2025"/>
    <x v="0"/>
    <x v="2"/>
    <s v="Finance"/>
    <x v="3"/>
    <x v="0"/>
    <n v="172"/>
    <n v="386656"/>
    <n v="233606"/>
    <n v="415"/>
    <n v="153050"/>
    <n v="0.39582988496234378"/>
  </r>
  <r>
    <s v="05-01-2025"/>
    <x v="1"/>
    <x v="5"/>
    <s v="Finance"/>
    <x v="3"/>
    <x v="2"/>
    <n v="112"/>
    <n v="191744"/>
    <n v="121813"/>
    <n v="979"/>
    <n v="69931"/>
    <n v="0.3647102386515354"/>
  </r>
  <r>
    <s v="24-01-2025"/>
    <x v="1"/>
    <x v="1"/>
    <s v="Finance"/>
    <x v="1"/>
    <x v="1"/>
    <n v="151"/>
    <n v="321630"/>
    <n v="220753"/>
    <n v="612"/>
    <n v="100877"/>
    <n v="0.31364300593850075"/>
  </r>
  <r>
    <s v="20-01-2025"/>
    <x v="1"/>
    <x v="1"/>
    <s v="Finance"/>
    <x v="3"/>
    <x v="1"/>
    <n v="101"/>
    <n v="251288"/>
    <n v="174942"/>
    <n v="538"/>
    <n v="76346"/>
    <n v="0.30381872592403936"/>
  </r>
  <r>
    <s v="17-01-2025"/>
    <x v="1"/>
    <x v="1"/>
    <s v="Finance"/>
    <x v="1"/>
    <x v="0"/>
    <n v="98"/>
    <n v="215404"/>
    <n v="172375"/>
    <n v="884"/>
    <n v="43029"/>
    <n v="0.19975952164305213"/>
  </r>
  <r>
    <s v="06-02-2025"/>
    <x v="0"/>
    <x v="0"/>
    <s v="Finance"/>
    <x v="0"/>
    <x v="0"/>
    <n v="115"/>
    <n v="274620"/>
    <n v="224593"/>
    <n v="323"/>
    <n v="50027"/>
    <n v="0.18216808681086594"/>
  </r>
  <r>
    <s v="15-02-2025"/>
    <x v="0"/>
    <x v="1"/>
    <s v="Finance"/>
    <x v="2"/>
    <x v="2"/>
    <n v="150"/>
    <n v="371700"/>
    <n v="243247"/>
    <n v="344"/>
    <n v="128453"/>
    <n v="0.34558245897228951"/>
  </r>
  <r>
    <s v="27-02-2025"/>
    <x v="0"/>
    <x v="5"/>
    <s v="Finance"/>
    <x v="0"/>
    <x v="1"/>
    <n v="104"/>
    <n v="195832"/>
    <n v="147544"/>
    <n v="795"/>
    <n v="48288"/>
    <n v="0.24657870011029862"/>
  </r>
  <r>
    <s v="09-01-2025"/>
    <x v="1"/>
    <x v="3"/>
    <s v="Finance"/>
    <x v="2"/>
    <x v="0"/>
    <n v="162"/>
    <n v="261306"/>
    <n v="174612"/>
    <n v="508"/>
    <n v="86694"/>
    <n v="0.33177194553511974"/>
  </r>
  <r>
    <s v="12-02-2025"/>
    <x v="0"/>
    <x v="2"/>
    <s v="Finance"/>
    <x v="2"/>
    <x v="1"/>
    <n v="63"/>
    <n v="128583"/>
    <n v="90297"/>
    <n v="209"/>
    <n v="38286"/>
    <n v="0.29775320221180096"/>
  </r>
  <r>
    <s v="15-02-2025"/>
    <x v="0"/>
    <x v="0"/>
    <s v="Finance"/>
    <x v="0"/>
    <x v="2"/>
    <n v="179"/>
    <n v="311460"/>
    <n v="198934"/>
    <n v="413"/>
    <n v="112526"/>
    <n v="0.36128555833814935"/>
  </r>
  <r>
    <s v="01-03-2025"/>
    <x v="2"/>
    <x v="0"/>
    <s v="Finance"/>
    <x v="0"/>
    <x v="2"/>
    <n v="85"/>
    <n v="142035"/>
    <n v="112420"/>
    <n v="493"/>
    <n v="29615"/>
    <n v="0.20850494596402294"/>
  </r>
  <r>
    <s v="22-01-2025"/>
    <x v="1"/>
    <x v="3"/>
    <s v="Finance"/>
    <x v="0"/>
    <x v="1"/>
    <n v="99"/>
    <n v="164340"/>
    <n v="98806"/>
    <n v="684"/>
    <n v="65534"/>
    <n v="0.39877084093951565"/>
  </r>
  <r>
    <s v="25-01-2025"/>
    <x v="1"/>
    <x v="0"/>
    <s v="Finance"/>
    <x v="3"/>
    <x v="1"/>
    <n v="193"/>
    <n v="479991"/>
    <n v="295453"/>
    <n v="693"/>
    <n v="184538"/>
    <n v="0.38446137531745389"/>
  </r>
  <r>
    <s v="17-02-2025"/>
    <x v="0"/>
    <x v="5"/>
    <s v="Finance"/>
    <x v="2"/>
    <x v="0"/>
    <n v="99"/>
    <n v="222057"/>
    <n v="182695"/>
    <n v="221"/>
    <n v="39362"/>
    <n v="0.17726079339989281"/>
  </r>
  <r>
    <s v="14-02-2025"/>
    <x v="0"/>
    <x v="3"/>
    <s v="Finance"/>
    <x v="0"/>
    <x v="2"/>
    <n v="73"/>
    <n v="171039"/>
    <n v="110797"/>
    <n v="767"/>
    <n v="60242"/>
    <n v="0.35221206859254323"/>
  </r>
  <r>
    <s v="25-01-2025"/>
    <x v="1"/>
    <x v="2"/>
    <s v="Finance"/>
    <x v="0"/>
    <x v="2"/>
    <n v="146"/>
    <n v="353904"/>
    <n v="248564"/>
    <n v="313"/>
    <n v="105340"/>
    <n v="0.29765134047651343"/>
  </r>
  <r>
    <s v="02-03-2025"/>
    <x v="2"/>
    <x v="5"/>
    <s v="Finance"/>
    <x v="2"/>
    <x v="2"/>
    <n v="140"/>
    <n v="305200"/>
    <n v="227464"/>
    <n v="320"/>
    <n v="77736"/>
    <n v="0.25470511140235913"/>
  </r>
  <r>
    <s v="22-02-2025"/>
    <x v="0"/>
    <x v="3"/>
    <s v="Finance"/>
    <x v="2"/>
    <x v="0"/>
    <n v="154"/>
    <n v="316932"/>
    <n v="210802"/>
    <n v="559"/>
    <n v="106130"/>
    <n v="0.33486678530410308"/>
  </r>
  <r>
    <s v="04-02-2025"/>
    <x v="0"/>
    <x v="3"/>
    <s v="Finance"/>
    <x v="3"/>
    <x v="1"/>
    <n v="132"/>
    <n v="243144"/>
    <n v="184140"/>
    <n v="218"/>
    <n v="59004"/>
    <n v="0.24267100977198697"/>
  </r>
  <r>
    <s v="23-01-2025"/>
    <x v="1"/>
    <x v="0"/>
    <s v="Finance"/>
    <x v="3"/>
    <x v="0"/>
    <n v="163"/>
    <n v="259007"/>
    <n v="219794"/>
    <n v="824"/>
    <n v="39213"/>
    <n v="0.15139745257850173"/>
  </r>
  <r>
    <s v="15-02-2025"/>
    <x v="0"/>
    <x v="2"/>
    <s v="Finance"/>
    <x v="0"/>
    <x v="0"/>
    <n v="55"/>
    <n v="101970"/>
    <n v="72354"/>
    <n v="938"/>
    <n v="29616"/>
    <n v="0.29043836422477198"/>
  </r>
  <r>
    <s v="30-01-2025"/>
    <x v="1"/>
    <x v="5"/>
    <s v="Finance"/>
    <x v="0"/>
    <x v="0"/>
    <n v="92"/>
    <n v="164128"/>
    <n v="115453"/>
    <n v="318"/>
    <n v="48675"/>
    <n v="0.29656731331643593"/>
  </r>
  <r>
    <s v="25-01-2025"/>
    <x v="1"/>
    <x v="1"/>
    <s v="Finance"/>
    <x v="1"/>
    <x v="1"/>
    <n v="171"/>
    <n v="368163"/>
    <n v="303555"/>
    <n v="618"/>
    <n v="64608"/>
    <n v="0.17548748787901011"/>
  </r>
  <r>
    <s v="14-02-2025"/>
    <x v="0"/>
    <x v="4"/>
    <s v="Finance"/>
    <x v="0"/>
    <x v="0"/>
    <n v="62"/>
    <n v="126480"/>
    <n v="104123"/>
    <n v="431"/>
    <n v="22357"/>
    <n v="0.17676312460468058"/>
  </r>
  <r>
    <s v="06-01-2025"/>
    <x v="1"/>
    <x v="4"/>
    <s v="Finance"/>
    <x v="1"/>
    <x v="2"/>
    <n v="122"/>
    <n v="199836"/>
    <n v="129162"/>
    <n v="955"/>
    <n v="70674"/>
    <n v="0.35366000120098479"/>
  </r>
  <r>
    <s v="24-02-2025"/>
    <x v="0"/>
    <x v="4"/>
    <s v="Finance"/>
    <x v="0"/>
    <x v="1"/>
    <n v="53"/>
    <n v="96566"/>
    <n v="70146"/>
    <n v="630"/>
    <n v="26420"/>
    <n v="0.27359526127208333"/>
  </r>
  <r>
    <s v="31-01-2025"/>
    <x v="1"/>
    <x v="4"/>
    <s v="Finance"/>
    <x v="0"/>
    <x v="0"/>
    <n v="59"/>
    <n v="112985"/>
    <n v="92963"/>
    <n v="237"/>
    <n v="20022"/>
    <n v="0.1772093640748772"/>
  </r>
  <r>
    <s v="29-01-2025"/>
    <x v="1"/>
    <x v="5"/>
    <s v="Finance"/>
    <x v="0"/>
    <x v="2"/>
    <n v="193"/>
    <n v="325012"/>
    <n v="234464"/>
    <n v="275"/>
    <n v="90548"/>
    <n v="0.27859894403898933"/>
  </r>
  <r>
    <s v="27-01-2025"/>
    <x v="1"/>
    <x v="4"/>
    <s v="Finance"/>
    <x v="1"/>
    <x v="1"/>
    <n v="183"/>
    <n v="390522"/>
    <n v="321327"/>
    <n v="640"/>
    <n v="69195"/>
    <n v="0.17718592038348671"/>
  </r>
  <r>
    <s v="21-02-2025"/>
    <x v="0"/>
    <x v="2"/>
    <s v="Finance"/>
    <x v="1"/>
    <x v="0"/>
    <n v="192"/>
    <n v="475008"/>
    <n v="360858"/>
    <n v="780"/>
    <n v="114150"/>
    <n v="0.2403117421180275"/>
  </r>
  <r>
    <s v="28-02-2025"/>
    <x v="0"/>
    <x v="4"/>
    <s v="Finance"/>
    <x v="2"/>
    <x v="1"/>
    <n v="61"/>
    <n v="102541"/>
    <n v="73976"/>
    <n v="665"/>
    <n v="28565"/>
    <n v="0.27857149822997629"/>
  </r>
  <r>
    <s v="14-01-2025"/>
    <x v="1"/>
    <x v="3"/>
    <s v="Finance"/>
    <x v="0"/>
    <x v="2"/>
    <n v="78"/>
    <n v="123708"/>
    <n v="87984"/>
    <n v="535"/>
    <n v="35724"/>
    <n v="0.28877679697351827"/>
  </r>
  <r>
    <s v="09-02-2025"/>
    <x v="0"/>
    <x v="4"/>
    <s v="Finance"/>
    <x v="1"/>
    <x v="2"/>
    <n v="89"/>
    <n v="199182"/>
    <n v="163392"/>
    <n v="632"/>
    <n v="35790"/>
    <n v="0.17968491128716449"/>
  </r>
  <r>
    <s v="27-01-2025"/>
    <x v="1"/>
    <x v="5"/>
    <s v="Finance"/>
    <x v="2"/>
    <x v="1"/>
    <n v="124"/>
    <n v="202616"/>
    <n v="135781"/>
    <n v="665"/>
    <n v="66835"/>
    <n v="0.329860425632724"/>
  </r>
  <r>
    <s v="07-02-2025"/>
    <x v="0"/>
    <x v="1"/>
    <s v="Finance"/>
    <x v="2"/>
    <x v="0"/>
    <n v="97"/>
    <n v="161699"/>
    <n v="130971"/>
    <n v="424"/>
    <n v="30728"/>
    <n v="0.19003209667344881"/>
  </r>
  <r>
    <s v="23-01-2025"/>
    <x v="1"/>
    <x v="5"/>
    <s v="Finance"/>
    <x v="0"/>
    <x v="1"/>
    <n v="150"/>
    <n v="364800"/>
    <n v="282712"/>
    <n v="443"/>
    <n v="82088"/>
    <n v="0.2250219298245614"/>
  </r>
  <r>
    <s v="03-01-2025"/>
    <x v="1"/>
    <x v="0"/>
    <s v="Finance"/>
    <x v="1"/>
    <x v="0"/>
    <n v="91"/>
    <n v="226499"/>
    <n v="162012"/>
    <n v="824"/>
    <n v="64487"/>
    <n v="0.28471207378399022"/>
  </r>
  <r>
    <s v="02-01-2025"/>
    <x v="1"/>
    <x v="1"/>
    <s v="Finance"/>
    <x v="3"/>
    <x v="2"/>
    <n v="139"/>
    <n v="341245"/>
    <n v="233598"/>
    <n v="348"/>
    <n v="107647"/>
    <n v="0.31545370628141073"/>
  </r>
  <r>
    <s v="24-02-2025"/>
    <x v="0"/>
    <x v="3"/>
    <s v="Finance"/>
    <x v="0"/>
    <x v="2"/>
    <n v="187"/>
    <n v="449548"/>
    <n v="287639"/>
    <n v="858"/>
    <n v="161909"/>
    <n v="0.3601595380248605"/>
  </r>
  <r>
    <s v="24-01-2025"/>
    <x v="1"/>
    <x v="4"/>
    <s v="Finance"/>
    <x v="1"/>
    <x v="2"/>
    <n v="157"/>
    <n v="311017"/>
    <n v="195692"/>
    <n v="919"/>
    <n v="115325"/>
    <n v="0.37079966689923705"/>
  </r>
  <r>
    <s v="26-02-2025"/>
    <x v="0"/>
    <x v="3"/>
    <s v="Finance"/>
    <x v="1"/>
    <x v="2"/>
    <n v="115"/>
    <n v="243455"/>
    <n v="162143"/>
    <n v="369"/>
    <n v="81312"/>
    <n v="0.33399190815551127"/>
  </r>
  <r>
    <s v="04-01-2025"/>
    <x v="1"/>
    <x v="4"/>
    <s v="Finance"/>
    <x v="0"/>
    <x v="1"/>
    <n v="184"/>
    <n v="296976"/>
    <n v="232759"/>
    <n v="667"/>
    <n v="64217"/>
    <n v="0.2162363288615915"/>
  </r>
  <r>
    <s v="12-02-2025"/>
    <x v="0"/>
    <x v="4"/>
    <s v="Finance"/>
    <x v="1"/>
    <x v="1"/>
    <n v="50"/>
    <n v="124500"/>
    <n v="103941"/>
    <n v="931"/>
    <n v="20559"/>
    <n v="0.16513253012048193"/>
  </r>
  <r>
    <s v="03-01-2025"/>
    <x v="1"/>
    <x v="0"/>
    <s v="Finance"/>
    <x v="1"/>
    <x v="1"/>
    <n v="81"/>
    <n v="194238"/>
    <n v="127306"/>
    <n v="783"/>
    <n v="66932"/>
    <n v="0.34458756782915806"/>
  </r>
  <r>
    <s v="15-01-2025"/>
    <x v="1"/>
    <x v="4"/>
    <s v="Finance"/>
    <x v="2"/>
    <x v="1"/>
    <n v="146"/>
    <n v="231410"/>
    <n v="170188"/>
    <n v="976"/>
    <n v="61222"/>
    <n v="0.26456073635538652"/>
  </r>
  <r>
    <s v="22-01-2025"/>
    <x v="1"/>
    <x v="0"/>
    <s v="Finance"/>
    <x v="2"/>
    <x v="0"/>
    <n v="67"/>
    <n v="142710"/>
    <n v="93756"/>
    <n v="943"/>
    <n v="48954"/>
    <n v="0.34303132226192978"/>
  </r>
  <r>
    <s v="04-02-2025"/>
    <x v="0"/>
    <x v="4"/>
    <s v="Finance"/>
    <x v="3"/>
    <x v="1"/>
    <n v="111"/>
    <n v="187035"/>
    <n v="151588"/>
    <n v="608"/>
    <n v="35447"/>
    <n v="0.18952067794797764"/>
  </r>
  <r>
    <s v="13-02-2025"/>
    <x v="0"/>
    <x v="2"/>
    <s v="Finance"/>
    <x v="1"/>
    <x v="1"/>
    <n v="81"/>
    <n v="161757"/>
    <n v="114628"/>
    <n v="252"/>
    <n v="47129"/>
    <n v="0.291356788268823"/>
  </r>
  <r>
    <s v="11-01-2025"/>
    <x v="1"/>
    <x v="1"/>
    <s v="Finance"/>
    <x v="1"/>
    <x v="2"/>
    <n v="146"/>
    <n v="312878"/>
    <n v="194792"/>
    <n v="615"/>
    <n v="118086"/>
    <n v="0.37741867437148025"/>
  </r>
  <r>
    <s v="11-01-2025"/>
    <x v="1"/>
    <x v="3"/>
    <s v="Finance"/>
    <x v="1"/>
    <x v="0"/>
    <n v="55"/>
    <n v="127435"/>
    <n v="104185"/>
    <n v="723"/>
    <n v="23250"/>
    <n v="0.18244595283870207"/>
  </r>
  <r>
    <s v="09-02-2025"/>
    <x v="0"/>
    <x v="0"/>
    <s v="Finance"/>
    <x v="2"/>
    <x v="1"/>
    <n v="182"/>
    <n v="355628"/>
    <n v="248859"/>
    <n v="975"/>
    <n v="106769"/>
    <n v="0.30022664132183069"/>
  </r>
  <r>
    <s v="15-02-2025"/>
    <x v="0"/>
    <x v="1"/>
    <s v="Finance"/>
    <x v="3"/>
    <x v="1"/>
    <n v="116"/>
    <n v="226780"/>
    <n v="151451"/>
    <n v="743"/>
    <n v="75329"/>
    <n v="0.33216773965958196"/>
  </r>
  <r>
    <s v="10-02-2025"/>
    <x v="0"/>
    <x v="3"/>
    <s v="Finance"/>
    <x v="2"/>
    <x v="2"/>
    <n v="132"/>
    <n v="237996"/>
    <n v="200363"/>
    <n v="264"/>
    <n v="37633"/>
    <n v="0.15812450629422342"/>
  </r>
  <r>
    <s v="01-01-2025"/>
    <x v="1"/>
    <x v="1"/>
    <s v="Finance"/>
    <x v="0"/>
    <x v="0"/>
    <n v="133"/>
    <n v="253099"/>
    <n v="196819"/>
    <n v="402"/>
    <n v="56280"/>
    <n v="0.22236358104931273"/>
  </r>
  <r>
    <s v="07-02-2025"/>
    <x v="0"/>
    <x v="4"/>
    <s v="Finance"/>
    <x v="2"/>
    <x v="0"/>
    <n v="65"/>
    <n v="132795"/>
    <n v="110989"/>
    <n v="497"/>
    <n v="21806"/>
    <n v="0.16420798975865056"/>
  </r>
  <r>
    <s v="11-02-2025"/>
    <x v="0"/>
    <x v="4"/>
    <s v="Finance"/>
    <x v="2"/>
    <x v="1"/>
    <n v="181"/>
    <n v="432952"/>
    <n v="304125"/>
    <n v="443"/>
    <n v="128827"/>
    <n v="0.29755492525730337"/>
  </r>
  <r>
    <s v="21-01-2025"/>
    <x v="1"/>
    <x v="3"/>
    <s v="Finance"/>
    <x v="1"/>
    <x v="1"/>
    <n v="119"/>
    <n v="208726"/>
    <n v="151224"/>
    <n v="924"/>
    <n v="57502"/>
    <n v="0.2754903557774307"/>
  </r>
  <r>
    <s v="17-01-2025"/>
    <x v="1"/>
    <x v="0"/>
    <s v="Finance"/>
    <x v="0"/>
    <x v="2"/>
    <n v="91"/>
    <n v="225589"/>
    <n v="154980"/>
    <n v="237"/>
    <n v="70609"/>
    <n v="0.31299841747602941"/>
  </r>
  <r>
    <s v="25-02-2025"/>
    <x v="0"/>
    <x v="5"/>
    <s v="Finance"/>
    <x v="3"/>
    <x v="0"/>
    <n v="89"/>
    <n v="139552"/>
    <n v="89323"/>
    <n v="906"/>
    <n v="50229"/>
    <n v="0.35993034854391193"/>
  </r>
  <r>
    <s v="30-01-2025"/>
    <x v="1"/>
    <x v="4"/>
    <s v="Finance"/>
    <x v="0"/>
    <x v="2"/>
    <n v="153"/>
    <n v="364446"/>
    <n v="295655"/>
    <n v="836"/>
    <n v="68791"/>
    <n v="0.18875498702139687"/>
  </r>
  <r>
    <s v="28-01-2025"/>
    <x v="1"/>
    <x v="4"/>
    <s v="Finance"/>
    <x v="3"/>
    <x v="1"/>
    <n v="146"/>
    <n v="305286"/>
    <n v="230150"/>
    <n v="991"/>
    <n v="75136"/>
    <n v="0.24611675609100975"/>
  </r>
  <r>
    <s v="21-01-2025"/>
    <x v="1"/>
    <x v="0"/>
    <s v="Finance"/>
    <x v="1"/>
    <x v="2"/>
    <n v="110"/>
    <n v="195580"/>
    <n v="122067"/>
    <n v="434"/>
    <n v="73513"/>
    <n v="0.37587176602924632"/>
  </r>
  <r>
    <s v="22-02-2025"/>
    <x v="0"/>
    <x v="4"/>
    <s v="Finance"/>
    <x v="3"/>
    <x v="2"/>
    <n v="88"/>
    <n v="159368"/>
    <n v="113303"/>
    <n v="287"/>
    <n v="46065"/>
    <n v="0.2890479895587571"/>
  </r>
  <r>
    <s v="03-01-2025"/>
    <x v="1"/>
    <x v="2"/>
    <s v="Finance"/>
    <x v="0"/>
    <x v="0"/>
    <n v="78"/>
    <n v="128232"/>
    <n v="89238"/>
    <n v="589"/>
    <n v="38994"/>
    <n v="0.30408946284858696"/>
  </r>
  <r>
    <s v="28-01-2025"/>
    <x v="1"/>
    <x v="1"/>
    <s v="Finance"/>
    <x v="1"/>
    <x v="1"/>
    <n v="136"/>
    <n v="280160"/>
    <n v="226126"/>
    <n v="287"/>
    <n v="54034"/>
    <n v="0.19286836093660764"/>
  </r>
  <r>
    <s v="14-01-2025"/>
    <x v="1"/>
    <x v="5"/>
    <s v="Finance"/>
    <x v="1"/>
    <x v="0"/>
    <n v="157"/>
    <n v="328130"/>
    <n v="258084"/>
    <n v="843"/>
    <n v="70046"/>
    <n v="0.2134702709292049"/>
  </r>
  <r>
    <s v="25-02-2025"/>
    <x v="0"/>
    <x v="2"/>
    <s v="Finance"/>
    <x v="3"/>
    <x v="2"/>
    <n v="130"/>
    <n v="250770"/>
    <n v="156358"/>
    <n v="606"/>
    <n v="94412"/>
    <n v="0.37648841567970648"/>
  </r>
  <r>
    <s v="21-02-2025"/>
    <x v="0"/>
    <x v="0"/>
    <s v="Finance"/>
    <x v="0"/>
    <x v="1"/>
    <n v="169"/>
    <n v="387517"/>
    <n v="234375"/>
    <n v="291"/>
    <n v="153142"/>
    <n v="0.39518782401804309"/>
  </r>
  <r>
    <s v="31-01-2025"/>
    <x v="1"/>
    <x v="3"/>
    <s v="Finance"/>
    <x v="0"/>
    <x v="1"/>
    <n v="160"/>
    <n v="340480"/>
    <n v="208449"/>
    <n v="333"/>
    <n v="132031"/>
    <n v="0.38777901785714286"/>
  </r>
  <r>
    <s v="04-01-2025"/>
    <x v="1"/>
    <x v="0"/>
    <s v="Finance"/>
    <x v="1"/>
    <x v="2"/>
    <n v="94"/>
    <n v="230864"/>
    <n v="182346"/>
    <n v="512"/>
    <n v="48518"/>
    <n v="0.21015836163282278"/>
  </r>
  <r>
    <s v="23-02-2025"/>
    <x v="0"/>
    <x v="2"/>
    <s v="Finance"/>
    <x v="1"/>
    <x v="0"/>
    <n v="100"/>
    <n v="156300"/>
    <n v="99100"/>
    <n v="242"/>
    <n v="57200"/>
    <n v="0.36596289187460013"/>
  </r>
  <r>
    <s v="21-02-2025"/>
    <x v="0"/>
    <x v="3"/>
    <s v="Finance"/>
    <x v="3"/>
    <x v="2"/>
    <n v="161"/>
    <n v="375452"/>
    <n v="316538"/>
    <n v="578"/>
    <n v="58914"/>
    <n v="0.15691486528237963"/>
  </r>
  <r>
    <s v="19-01-2025"/>
    <x v="1"/>
    <x v="2"/>
    <s v="Finance"/>
    <x v="3"/>
    <x v="2"/>
    <n v="137"/>
    <n v="269890"/>
    <n v="172746"/>
    <n v="508"/>
    <n v="97144"/>
    <n v="0.35993923450294563"/>
  </r>
  <r>
    <s v="05-01-2025"/>
    <x v="1"/>
    <x v="4"/>
    <s v="Finance"/>
    <x v="2"/>
    <x v="2"/>
    <n v="116"/>
    <n v="174000"/>
    <n v="111669"/>
    <n v="943"/>
    <n v="62331"/>
    <n v="0.35822413793103447"/>
  </r>
  <r>
    <s v="04-01-2025"/>
    <x v="1"/>
    <x v="2"/>
    <s v="Finance"/>
    <x v="1"/>
    <x v="2"/>
    <n v="179"/>
    <n v="362475"/>
    <n v="243098"/>
    <n v="288"/>
    <n v="119377"/>
    <n v="0.32933857507414305"/>
  </r>
  <r>
    <s v="19-02-2025"/>
    <x v="0"/>
    <x v="2"/>
    <s v="Finance"/>
    <x v="3"/>
    <x v="2"/>
    <n v="83"/>
    <n v="194801"/>
    <n v="163136"/>
    <n v="822"/>
    <n v="31665"/>
    <n v="0.16255050025410547"/>
  </r>
  <r>
    <s v="13-02-2025"/>
    <x v="0"/>
    <x v="0"/>
    <s v="Finance"/>
    <x v="1"/>
    <x v="1"/>
    <n v="199"/>
    <n v="416706"/>
    <n v="320165"/>
    <n v="677"/>
    <n v="96541"/>
    <n v="0.23167652973559297"/>
  </r>
  <r>
    <s v="14-02-2025"/>
    <x v="0"/>
    <x v="3"/>
    <s v="Finance"/>
    <x v="3"/>
    <x v="0"/>
    <n v="93"/>
    <n v="184884"/>
    <n v="121909"/>
    <n v="980"/>
    <n v="62975"/>
    <n v="0.34061898271348523"/>
  </r>
  <r>
    <s v="14-01-2025"/>
    <x v="1"/>
    <x v="3"/>
    <s v="Finance"/>
    <x v="1"/>
    <x v="1"/>
    <n v="187"/>
    <n v="402798"/>
    <n v="282478"/>
    <n v="543"/>
    <n v="120320"/>
    <n v="0.29871051991320713"/>
  </r>
  <r>
    <s v="14-01-2025"/>
    <x v="1"/>
    <x v="1"/>
    <s v="Finance"/>
    <x v="2"/>
    <x v="0"/>
    <n v="114"/>
    <n v="194142"/>
    <n v="134585"/>
    <n v="722"/>
    <n v="59557"/>
    <n v="0.3067703021499727"/>
  </r>
  <r>
    <s v="03-02-2025"/>
    <x v="0"/>
    <x v="5"/>
    <s v="Finance"/>
    <x v="0"/>
    <x v="0"/>
    <n v="77"/>
    <n v="129129"/>
    <n v="82352"/>
    <n v="872"/>
    <n v="46777"/>
    <n v="0.36225015294782736"/>
  </r>
  <r>
    <s v="21-02-2025"/>
    <x v="0"/>
    <x v="0"/>
    <s v="Finance"/>
    <x v="0"/>
    <x v="2"/>
    <n v="108"/>
    <n v="194292"/>
    <n v="138233"/>
    <n v="416"/>
    <n v="56059"/>
    <n v="0.28852963580590041"/>
  </r>
  <r>
    <s v="27-02-2025"/>
    <x v="0"/>
    <x v="0"/>
    <s v="Finance"/>
    <x v="0"/>
    <x v="0"/>
    <n v="155"/>
    <n v="370295"/>
    <n v="264131"/>
    <n v="581"/>
    <n v="106164"/>
    <n v="0.28670114368273941"/>
  </r>
  <r>
    <s v="01-02-2025"/>
    <x v="0"/>
    <x v="4"/>
    <s v="Finance"/>
    <x v="1"/>
    <x v="1"/>
    <n v="117"/>
    <n v="217971"/>
    <n v="157387"/>
    <n v="677"/>
    <n v="60584"/>
    <n v="0.27794523124635845"/>
  </r>
  <r>
    <s v="19-01-2025"/>
    <x v="1"/>
    <x v="5"/>
    <s v="Finance"/>
    <x v="1"/>
    <x v="2"/>
    <n v="178"/>
    <n v="366502"/>
    <n v="230960"/>
    <n v="216"/>
    <n v="135542"/>
    <n v="0.36982608553295754"/>
  </r>
  <r>
    <s v="16-02-2025"/>
    <x v="0"/>
    <x v="2"/>
    <s v="Finance"/>
    <x v="0"/>
    <x v="0"/>
    <n v="121"/>
    <n v="265353"/>
    <n v="215973"/>
    <n v="877"/>
    <n v="49380"/>
    <n v="0.18609173440662061"/>
  </r>
  <r>
    <s v="08-01-2025"/>
    <x v="1"/>
    <x v="1"/>
    <s v="Finance"/>
    <x v="3"/>
    <x v="0"/>
    <n v="194"/>
    <n v="401580"/>
    <n v="309169"/>
    <n v="526"/>
    <n v="92411"/>
    <n v="0.2301185317993924"/>
  </r>
  <r>
    <s v="19-02-2025"/>
    <x v="0"/>
    <x v="0"/>
    <s v="Finance"/>
    <x v="0"/>
    <x v="2"/>
    <n v="78"/>
    <n v="151320"/>
    <n v="92108"/>
    <n v="292"/>
    <n v="59212"/>
    <n v="0.39130319851969336"/>
  </r>
  <r>
    <s v="25-01-2025"/>
    <x v="1"/>
    <x v="2"/>
    <s v="Finance"/>
    <x v="0"/>
    <x v="2"/>
    <n v="144"/>
    <n v="348048"/>
    <n v="222252"/>
    <n v="841"/>
    <n v="125796"/>
    <n v="0.36143290580609572"/>
  </r>
  <r>
    <s v="13-02-2025"/>
    <x v="0"/>
    <x v="2"/>
    <s v="Finance"/>
    <x v="1"/>
    <x v="0"/>
    <n v="51"/>
    <n v="94350"/>
    <n v="60016"/>
    <n v="321"/>
    <n v="34334"/>
    <n v="0.36390037095919447"/>
  </r>
  <r>
    <s v="09-02-2025"/>
    <x v="0"/>
    <x v="4"/>
    <s v="Finance"/>
    <x v="3"/>
    <x v="2"/>
    <n v="126"/>
    <n v="216972"/>
    <n v="169219"/>
    <n v="602"/>
    <n v="47753"/>
    <n v="0.22008830632524012"/>
  </r>
  <r>
    <s v="11-02-2025"/>
    <x v="0"/>
    <x v="4"/>
    <s v="Finance"/>
    <x v="2"/>
    <x v="2"/>
    <n v="107"/>
    <n v="217210"/>
    <n v="141076"/>
    <n v="843"/>
    <n v="76134"/>
    <n v="0.35050872427604624"/>
  </r>
  <r>
    <s v="09-02-2025"/>
    <x v="0"/>
    <x v="4"/>
    <s v="Finance"/>
    <x v="2"/>
    <x v="2"/>
    <n v="175"/>
    <n v="339675"/>
    <n v="263981"/>
    <n v="254"/>
    <n v="75694"/>
    <n v="0.22284242290424672"/>
  </r>
  <r>
    <s v="02-01-2025"/>
    <x v="1"/>
    <x v="0"/>
    <s v="Finance"/>
    <x v="1"/>
    <x v="0"/>
    <n v="182"/>
    <n v="452998"/>
    <n v="322721"/>
    <n v="656"/>
    <n v="130277"/>
    <n v="0.28758846617424361"/>
  </r>
  <r>
    <s v="16-02-2025"/>
    <x v="0"/>
    <x v="1"/>
    <s v="Finance"/>
    <x v="3"/>
    <x v="1"/>
    <n v="151"/>
    <n v="368138"/>
    <n v="296822"/>
    <n v="686"/>
    <n v="71316"/>
    <n v="0.19372083294851386"/>
  </r>
  <r>
    <s v="06-02-2025"/>
    <x v="0"/>
    <x v="1"/>
    <s v="Finance"/>
    <x v="1"/>
    <x v="0"/>
    <n v="93"/>
    <n v="229710"/>
    <n v="156449"/>
    <n v="577"/>
    <n v="73261"/>
    <n v="0.31892821383483522"/>
  </r>
  <r>
    <s v="10-02-2025"/>
    <x v="0"/>
    <x v="4"/>
    <s v="Finance"/>
    <x v="0"/>
    <x v="1"/>
    <n v="194"/>
    <n v="389164"/>
    <n v="290905"/>
    <n v="498"/>
    <n v="98259"/>
    <n v="0.25248738321119119"/>
  </r>
  <r>
    <s v="26-01-2025"/>
    <x v="1"/>
    <x v="5"/>
    <s v="Finance"/>
    <x v="1"/>
    <x v="1"/>
    <n v="167"/>
    <n v="381595"/>
    <n v="286846"/>
    <n v="360"/>
    <n v="94749"/>
    <n v="0.24829727852828259"/>
  </r>
  <r>
    <s v="20-02-2025"/>
    <x v="0"/>
    <x v="5"/>
    <s v="Finance"/>
    <x v="1"/>
    <x v="0"/>
    <n v="116"/>
    <n v="177828"/>
    <n v="122755"/>
    <n v="731"/>
    <n v="55073"/>
    <n v="0.3096981352767843"/>
  </r>
  <r>
    <s v="22-01-2025"/>
    <x v="1"/>
    <x v="4"/>
    <s v="Finance"/>
    <x v="0"/>
    <x v="2"/>
    <n v="74"/>
    <n v="172198"/>
    <n v="143607"/>
    <n v="756"/>
    <n v="28591"/>
    <n v="0.16603561016968837"/>
  </r>
  <r>
    <s v="24-01-2025"/>
    <x v="1"/>
    <x v="4"/>
    <s v="Finance"/>
    <x v="0"/>
    <x v="0"/>
    <n v="131"/>
    <n v="233049"/>
    <n v="146034"/>
    <n v="916"/>
    <n v="87015"/>
    <n v="0.37337641440212144"/>
  </r>
  <r>
    <s v="11-02-2025"/>
    <x v="0"/>
    <x v="2"/>
    <s v="Finance"/>
    <x v="0"/>
    <x v="1"/>
    <n v="102"/>
    <n v="201450"/>
    <n v="139602"/>
    <n v="643"/>
    <n v="61848"/>
    <n v="0.30701414743112437"/>
  </r>
  <r>
    <s v="06-01-2025"/>
    <x v="1"/>
    <x v="5"/>
    <s v="Finance"/>
    <x v="2"/>
    <x v="1"/>
    <n v="175"/>
    <n v="407400"/>
    <n v="310025"/>
    <n v="948"/>
    <n v="97375"/>
    <n v="0.23901570937653413"/>
  </r>
  <r>
    <s v="08-01-2025"/>
    <x v="1"/>
    <x v="2"/>
    <s v="Finance"/>
    <x v="2"/>
    <x v="0"/>
    <n v="182"/>
    <n v="337428"/>
    <n v="216219"/>
    <n v="645"/>
    <n v="121209"/>
    <n v="0.35921441018528399"/>
  </r>
  <r>
    <s v="11-01-2025"/>
    <x v="1"/>
    <x v="3"/>
    <s v="Finance"/>
    <x v="1"/>
    <x v="1"/>
    <n v="51"/>
    <n v="85323"/>
    <n v="59839"/>
    <n v="836"/>
    <n v="25484"/>
    <n v="0.2986767928928894"/>
  </r>
  <r>
    <s v="30-01-2025"/>
    <x v="1"/>
    <x v="4"/>
    <s v="Finance"/>
    <x v="0"/>
    <x v="2"/>
    <n v="110"/>
    <n v="184030"/>
    <n v="134399"/>
    <n v="667"/>
    <n v="49631"/>
    <n v="0.26968972450143996"/>
  </r>
  <r>
    <s v="20-01-2025"/>
    <x v="1"/>
    <x v="0"/>
    <s v="Finance"/>
    <x v="1"/>
    <x v="2"/>
    <n v="170"/>
    <n v="411910"/>
    <n v="300328"/>
    <n v="804"/>
    <n v="111582"/>
    <n v="0.27088927192833384"/>
  </r>
  <r>
    <s v="20-02-2025"/>
    <x v="0"/>
    <x v="2"/>
    <s v="Finance"/>
    <x v="1"/>
    <x v="2"/>
    <n v="95"/>
    <n v="156560"/>
    <n v="105386"/>
    <n v="382"/>
    <n v="51174"/>
    <n v="0.32686509964230964"/>
  </r>
  <r>
    <s v="17-02-2025"/>
    <x v="0"/>
    <x v="2"/>
    <s v="Finance"/>
    <x v="2"/>
    <x v="0"/>
    <n v="68"/>
    <n v="164152"/>
    <n v="125875"/>
    <n v="713"/>
    <n v="38277"/>
    <n v="0.23318022320775866"/>
  </r>
  <r>
    <s v="21-01-2025"/>
    <x v="1"/>
    <x v="0"/>
    <s v="Finance"/>
    <x v="0"/>
    <x v="0"/>
    <n v="94"/>
    <n v="145418"/>
    <n v="104636"/>
    <n v="947"/>
    <n v="40782"/>
    <n v="0.2804467122364494"/>
  </r>
  <r>
    <s v="23-01-2025"/>
    <x v="1"/>
    <x v="5"/>
    <s v="Finance"/>
    <x v="0"/>
    <x v="1"/>
    <n v="139"/>
    <n v="340828"/>
    <n v="209873"/>
    <n v="265"/>
    <n v="130955"/>
    <n v="0.38422606123910008"/>
  </r>
  <r>
    <s v="22-01-2025"/>
    <x v="1"/>
    <x v="3"/>
    <s v="Finance"/>
    <x v="0"/>
    <x v="1"/>
    <n v="93"/>
    <n v="172329"/>
    <n v="119958"/>
    <n v="354"/>
    <n v="52371"/>
    <n v="0.30390125863899864"/>
  </r>
  <r>
    <s v="04-01-2025"/>
    <x v="1"/>
    <x v="3"/>
    <s v="Finance"/>
    <x v="1"/>
    <x v="0"/>
    <n v="200"/>
    <n v="314400"/>
    <n v="256112"/>
    <n v="389"/>
    <n v="58288"/>
    <n v="0.18539440203562341"/>
  </r>
  <r>
    <s v="10-02-2025"/>
    <x v="0"/>
    <x v="0"/>
    <s v="Finance"/>
    <x v="3"/>
    <x v="0"/>
    <n v="105"/>
    <n v="185115"/>
    <n v="116843"/>
    <n v="895"/>
    <n v="68272"/>
    <n v="0.36880857845123299"/>
  </r>
  <r>
    <s v="10-02-2025"/>
    <x v="0"/>
    <x v="3"/>
    <s v="Finance"/>
    <x v="1"/>
    <x v="1"/>
    <n v="189"/>
    <n v="440370"/>
    <n v="287104"/>
    <n v="258"/>
    <n v="153266"/>
    <n v="0.34803914889751797"/>
  </r>
  <r>
    <s v="28-01-2025"/>
    <x v="1"/>
    <x v="3"/>
    <s v="Finance"/>
    <x v="2"/>
    <x v="2"/>
    <n v="110"/>
    <n v="272910"/>
    <n v="177507"/>
    <n v="635"/>
    <n v="95403"/>
    <n v="0.34957678355501814"/>
  </r>
  <r>
    <s v="28-02-2025"/>
    <x v="0"/>
    <x v="4"/>
    <s v="Finance"/>
    <x v="3"/>
    <x v="1"/>
    <n v="58"/>
    <n v="90828"/>
    <n v="71798"/>
    <n v="818"/>
    <n v="19030"/>
    <n v="0.20951688906504601"/>
  </r>
  <r>
    <s v="28-01-2025"/>
    <x v="1"/>
    <x v="0"/>
    <s v="Finance"/>
    <x v="1"/>
    <x v="0"/>
    <n v="147"/>
    <n v="325311"/>
    <n v="253821"/>
    <n v="416"/>
    <n v="71490"/>
    <n v="0.21975893836974464"/>
  </r>
  <r>
    <s v="16-01-2025"/>
    <x v="1"/>
    <x v="2"/>
    <s v="Finance"/>
    <x v="3"/>
    <x v="2"/>
    <n v="199"/>
    <n v="397602"/>
    <n v="310690"/>
    <n v="742"/>
    <n v="86912"/>
    <n v="0.21859044974622865"/>
  </r>
  <r>
    <s v="18-02-2025"/>
    <x v="0"/>
    <x v="4"/>
    <s v="Finance"/>
    <x v="0"/>
    <x v="0"/>
    <n v="185"/>
    <n v="409590"/>
    <n v="282947"/>
    <n v="500"/>
    <n v="126643"/>
    <n v="0.30919456041407262"/>
  </r>
  <r>
    <s v="16-02-2025"/>
    <x v="0"/>
    <x v="4"/>
    <s v="Finance"/>
    <x v="0"/>
    <x v="1"/>
    <n v="182"/>
    <n v="407316"/>
    <n v="336659"/>
    <n v="888"/>
    <n v="70657"/>
    <n v="0.17346973848314332"/>
  </r>
  <r>
    <s v="20-01-2025"/>
    <x v="1"/>
    <x v="3"/>
    <s v="Finance"/>
    <x v="1"/>
    <x v="1"/>
    <n v="186"/>
    <n v="375906"/>
    <n v="285339"/>
    <n v="676"/>
    <n v="90567"/>
    <n v="0.24092991332939617"/>
  </r>
  <r>
    <s v="28-01-2025"/>
    <x v="1"/>
    <x v="1"/>
    <s v="Finance"/>
    <x v="1"/>
    <x v="2"/>
    <n v="191"/>
    <n v="291848"/>
    <n v="194493"/>
    <n v="368"/>
    <n v="97355"/>
    <n v="0.33358117924399"/>
  </r>
  <r>
    <s v="13-01-2025"/>
    <x v="1"/>
    <x v="5"/>
    <s v="Finance"/>
    <x v="1"/>
    <x v="2"/>
    <n v="61"/>
    <n v="131699"/>
    <n v="100199"/>
    <n v="630"/>
    <n v="31500"/>
    <n v="0.23918177055254786"/>
  </r>
  <r>
    <s v="03-01-2025"/>
    <x v="1"/>
    <x v="1"/>
    <s v="Finance"/>
    <x v="1"/>
    <x v="1"/>
    <n v="200"/>
    <n v="406800"/>
    <n v="306524"/>
    <n v="331"/>
    <n v="100276"/>
    <n v="0.24649950835791543"/>
  </r>
  <r>
    <s v="26-02-2025"/>
    <x v="0"/>
    <x v="4"/>
    <s v="Finance"/>
    <x v="1"/>
    <x v="1"/>
    <n v="86"/>
    <n v="146888"/>
    <n v="96730"/>
    <n v="669"/>
    <n v="50158"/>
    <n v="0.34147105277490331"/>
  </r>
  <r>
    <s v="02-02-2025"/>
    <x v="0"/>
    <x v="1"/>
    <s v="Finance"/>
    <x v="3"/>
    <x v="1"/>
    <n v="155"/>
    <n v="306745"/>
    <n v="216046"/>
    <n v="635"/>
    <n v="90699"/>
    <n v="0.29568208120751766"/>
  </r>
  <r>
    <s v="09-02-2025"/>
    <x v="0"/>
    <x v="0"/>
    <s v="Finance"/>
    <x v="1"/>
    <x v="0"/>
    <n v="92"/>
    <n v="150328"/>
    <n v="113301"/>
    <n v="905"/>
    <n v="37027"/>
    <n v="0.24630807301367677"/>
  </r>
  <r>
    <s v="15-01-2025"/>
    <x v="1"/>
    <x v="3"/>
    <s v="Finance"/>
    <x v="2"/>
    <x v="0"/>
    <n v="101"/>
    <n v="241188"/>
    <n v="191498"/>
    <n v="816"/>
    <n v="49690"/>
    <n v="0.20602185846725377"/>
  </r>
  <r>
    <s v="07-02-2025"/>
    <x v="0"/>
    <x v="4"/>
    <s v="Finance"/>
    <x v="2"/>
    <x v="1"/>
    <n v="71"/>
    <n v="149597"/>
    <n v="121186"/>
    <n v="734"/>
    <n v="28411"/>
    <n v="0.18991691009846454"/>
  </r>
  <r>
    <s v="11-01-2025"/>
    <x v="1"/>
    <x v="1"/>
    <s v="Finance"/>
    <x v="3"/>
    <x v="2"/>
    <n v="144"/>
    <n v="242928"/>
    <n v="176199"/>
    <n v="763"/>
    <n v="66729"/>
    <n v="0.27468632681288285"/>
  </r>
  <r>
    <s v="07-01-2025"/>
    <x v="1"/>
    <x v="4"/>
    <s v="Finance"/>
    <x v="1"/>
    <x v="2"/>
    <n v="108"/>
    <n v="214272"/>
    <n v="133378"/>
    <n v="370"/>
    <n v="80894"/>
    <n v="0.37752949522102747"/>
  </r>
  <r>
    <s v="09-02-2025"/>
    <x v="0"/>
    <x v="4"/>
    <s v="Finance"/>
    <x v="0"/>
    <x v="1"/>
    <n v="129"/>
    <n v="243939"/>
    <n v="150062"/>
    <n v="466"/>
    <n v="93877"/>
    <n v="0.38483801278188401"/>
  </r>
  <r>
    <s v="05-02-2025"/>
    <x v="0"/>
    <x v="3"/>
    <s v="Finance"/>
    <x v="0"/>
    <x v="0"/>
    <n v="130"/>
    <n v="240500"/>
    <n v="196416"/>
    <n v="394"/>
    <n v="44084"/>
    <n v="0.18330145530145531"/>
  </r>
  <r>
    <s v="27-01-2025"/>
    <x v="1"/>
    <x v="1"/>
    <s v="Finance"/>
    <x v="2"/>
    <x v="2"/>
    <n v="79"/>
    <n v="160212"/>
    <n v="104224"/>
    <n v="929"/>
    <n v="55988"/>
    <n v="0.3494619628991586"/>
  </r>
  <r>
    <s v="10-02-2025"/>
    <x v="0"/>
    <x v="4"/>
    <s v="Finance"/>
    <x v="1"/>
    <x v="0"/>
    <n v="67"/>
    <n v="121806"/>
    <n v="73241"/>
    <n v="604"/>
    <n v="48565"/>
    <n v="0.39870778122588379"/>
  </r>
  <r>
    <s v="06-01-2025"/>
    <x v="1"/>
    <x v="1"/>
    <s v="Finance"/>
    <x v="3"/>
    <x v="2"/>
    <n v="121"/>
    <n v="285197"/>
    <n v="185093"/>
    <n v="346"/>
    <n v="100104"/>
    <n v="0.35099948456680818"/>
  </r>
  <r>
    <s v="13-02-2025"/>
    <x v="0"/>
    <x v="3"/>
    <s v="Finance"/>
    <x v="0"/>
    <x v="0"/>
    <n v="50"/>
    <n v="77700"/>
    <n v="56620"/>
    <n v="928"/>
    <n v="21080"/>
    <n v="0.27129987129987132"/>
  </r>
  <r>
    <s v="08-02-2025"/>
    <x v="0"/>
    <x v="3"/>
    <s v="Finance"/>
    <x v="3"/>
    <x v="2"/>
    <n v="95"/>
    <n v="171475"/>
    <n v="106987"/>
    <n v="941"/>
    <n v="64488"/>
    <n v="0.37607814550225982"/>
  </r>
  <r>
    <s v="13-01-2025"/>
    <x v="1"/>
    <x v="3"/>
    <s v="Finance"/>
    <x v="1"/>
    <x v="0"/>
    <n v="70"/>
    <n v="118230"/>
    <n v="78900"/>
    <n v="474"/>
    <n v="39330"/>
    <n v="0.33265668612027405"/>
  </r>
  <r>
    <s v="02-03-2025"/>
    <x v="2"/>
    <x v="0"/>
    <s v="Finance"/>
    <x v="3"/>
    <x v="1"/>
    <n v="170"/>
    <n v="398990"/>
    <n v="299190"/>
    <n v="919"/>
    <n v="99800"/>
    <n v="0.25013158224516907"/>
  </r>
  <r>
    <s v="24-02-2025"/>
    <x v="0"/>
    <x v="5"/>
    <s v="Finance"/>
    <x v="0"/>
    <x v="0"/>
    <n v="67"/>
    <n v="108607"/>
    <n v="84567"/>
    <n v="263"/>
    <n v="24040"/>
    <n v="0.22134853186258713"/>
  </r>
  <r>
    <s v="17-01-2025"/>
    <x v="1"/>
    <x v="0"/>
    <s v="Finance"/>
    <x v="3"/>
    <x v="0"/>
    <n v="101"/>
    <n v="176346"/>
    <n v="139398"/>
    <n v="307"/>
    <n v="36948"/>
    <n v="0.20951992106427136"/>
  </r>
  <r>
    <s v="13-02-2025"/>
    <x v="0"/>
    <x v="1"/>
    <s v="Finance"/>
    <x v="1"/>
    <x v="0"/>
    <n v="50"/>
    <n v="115050"/>
    <n v="71468"/>
    <n v="536"/>
    <n v="43582"/>
    <n v="0.37880921338548457"/>
  </r>
  <r>
    <s v="22-01-2025"/>
    <x v="1"/>
    <x v="4"/>
    <s v="Finance"/>
    <x v="3"/>
    <x v="1"/>
    <n v="159"/>
    <n v="337080"/>
    <n v="219970"/>
    <n v="610"/>
    <n v="117110"/>
    <n v="0.3474249436335588"/>
  </r>
  <r>
    <s v="08-01-2025"/>
    <x v="1"/>
    <x v="1"/>
    <s v="Finance"/>
    <x v="3"/>
    <x v="1"/>
    <n v="177"/>
    <n v="307095"/>
    <n v="252533"/>
    <n v="686"/>
    <n v="54562"/>
    <n v="0.17767140461420733"/>
  </r>
  <r>
    <s v="31-01-2025"/>
    <x v="1"/>
    <x v="2"/>
    <s v="Finance"/>
    <x v="2"/>
    <x v="1"/>
    <n v="153"/>
    <n v="367506"/>
    <n v="235788"/>
    <n v="481"/>
    <n v="131718"/>
    <n v="0.35841047493102152"/>
  </r>
  <r>
    <s v="08-02-2025"/>
    <x v="0"/>
    <x v="2"/>
    <s v="Finance"/>
    <x v="2"/>
    <x v="1"/>
    <n v="190"/>
    <n v="474810"/>
    <n v="367554"/>
    <n v="853"/>
    <n v="107256"/>
    <n v="0.22589246224805712"/>
  </r>
  <r>
    <s v="15-02-2025"/>
    <x v="0"/>
    <x v="2"/>
    <s v="Finance"/>
    <x v="1"/>
    <x v="0"/>
    <n v="67"/>
    <n v="149142"/>
    <n v="119291"/>
    <n v="257"/>
    <n v="29851"/>
    <n v="0.20015153343793163"/>
  </r>
  <r>
    <s v="05-02-2025"/>
    <x v="0"/>
    <x v="4"/>
    <s v="Finance"/>
    <x v="2"/>
    <x v="1"/>
    <n v="58"/>
    <n v="117218"/>
    <n v="97987"/>
    <n v="994"/>
    <n v="19231"/>
    <n v="0.16406183350679929"/>
  </r>
  <r>
    <s v="20-02-2025"/>
    <x v="0"/>
    <x v="1"/>
    <s v="Finance"/>
    <x v="0"/>
    <x v="1"/>
    <n v="180"/>
    <n v="322560"/>
    <n v="198480"/>
    <n v="520"/>
    <n v="124080"/>
    <n v="0.38467261904761907"/>
  </r>
  <r>
    <s v="25-01-2025"/>
    <x v="1"/>
    <x v="4"/>
    <s v="Finance"/>
    <x v="2"/>
    <x v="1"/>
    <n v="122"/>
    <n v="202764"/>
    <n v="169270"/>
    <n v="471"/>
    <n v="33494"/>
    <n v="0.16518711408336786"/>
  </r>
  <r>
    <s v="24-02-2025"/>
    <x v="0"/>
    <x v="5"/>
    <s v="Finance"/>
    <x v="2"/>
    <x v="2"/>
    <n v="166"/>
    <n v="366528"/>
    <n v="310621"/>
    <n v="569"/>
    <n v="55907"/>
    <n v="0.15253132093591759"/>
  </r>
  <r>
    <s v="07-02-2025"/>
    <x v="0"/>
    <x v="3"/>
    <s v="Finance"/>
    <x v="2"/>
    <x v="2"/>
    <n v="171"/>
    <n v="341487"/>
    <n v="271092"/>
    <n v="605"/>
    <n v="70395"/>
    <n v="0.20614254715406444"/>
  </r>
  <r>
    <s v="28-02-2025"/>
    <x v="0"/>
    <x v="0"/>
    <s v="Finance"/>
    <x v="1"/>
    <x v="2"/>
    <n v="159"/>
    <n v="378261"/>
    <n v="249726"/>
    <n v="413"/>
    <n v="128535"/>
    <n v="0.33980505523963611"/>
  </r>
  <r>
    <s v="17-02-2025"/>
    <x v="0"/>
    <x v="5"/>
    <s v="Finance"/>
    <x v="1"/>
    <x v="1"/>
    <n v="184"/>
    <n v="281520"/>
    <n v="176745"/>
    <n v="787"/>
    <n v="104775"/>
    <n v="0.37217604433077578"/>
  </r>
  <r>
    <s v="03-01-2025"/>
    <x v="1"/>
    <x v="5"/>
    <s v="Finance"/>
    <x v="1"/>
    <x v="2"/>
    <n v="181"/>
    <n v="443088"/>
    <n v="292591"/>
    <n v="762"/>
    <n v="150497"/>
    <n v="0.33965487668363847"/>
  </r>
  <r>
    <s v="02-02-2025"/>
    <x v="0"/>
    <x v="5"/>
    <s v="Finance"/>
    <x v="2"/>
    <x v="1"/>
    <n v="140"/>
    <n v="260540"/>
    <n v="162383"/>
    <n v="798"/>
    <n v="98157"/>
    <n v="0.37674445382666771"/>
  </r>
  <r>
    <s v="25-02-2025"/>
    <x v="0"/>
    <x v="5"/>
    <s v="Finance"/>
    <x v="2"/>
    <x v="0"/>
    <n v="72"/>
    <n v="121176"/>
    <n v="99331"/>
    <n v="884"/>
    <n v="21845"/>
    <n v="0.18027497194163861"/>
  </r>
  <r>
    <s v="26-02-2025"/>
    <x v="0"/>
    <x v="3"/>
    <s v="Finance"/>
    <x v="3"/>
    <x v="0"/>
    <n v="179"/>
    <n v="302510"/>
    <n v="203381"/>
    <n v="970"/>
    <n v="99129"/>
    <n v="0.32768834088129317"/>
  </r>
  <r>
    <s v="02-01-2025"/>
    <x v="1"/>
    <x v="2"/>
    <s v="Finance"/>
    <x v="1"/>
    <x v="1"/>
    <n v="121"/>
    <n v="235829"/>
    <n v="158794"/>
    <n v="607"/>
    <n v="77035"/>
    <n v="0.32665617884144865"/>
  </r>
  <r>
    <s v="02-01-2025"/>
    <x v="1"/>
    <x v="3"/>
    <s v="Finance"/>
    <x v="1"/>
    <x v="0"/>
    <n v="92"/>
    <n v="199180"/>
    <n v="135328"/>
    <n v="735"/>
    <n v="63852"/>
    <n v="0.3205743548549051"/>
  </r>
  <r>
    <s v="06-01-2025"/>
    <x v="1"/>
    <x v="2"/>
    <s v="Finance"/>
    <x v="1"/>
    <x v="1"/>
    <n v="137"/>
    <n v="231393"/>
    <n v="191010"/>
    <n v="833"/>
    <n v="40383"/>
    <n v="0.17452126900986634"/>
  </r>
  <r>
    <s v="19-01-2025"/>
    <x v="1"/>
    <x v="5"/>
    <s v="Finance"/>
    <x v="0"/>
    <x v="2"/>
    <n v="117"/>
    <n v="263835"/>
    <n v="184740"/>
    <n v="688"/>
    <n v="79095"/>
    <n v="0.29978964125305591"/>
  </r>
  <r>
    <s v="17-01-2025"/>
    <x v="1"/>
    <x v="0"/>
    <s v="Finance"/>
    <x v="1"/>
    <x v="0"/>
    <n v="123"/>
    <n v="272814"/>
    <n v="220364"/>
    <n v="507"/>
    <n v="52450"/>
    <n v="0.19225552940831483"/>
  </r>
  <r>
    <s v="10-02-2025"/>
    <x v="0"/>
    <x v="2"/>
    <s v="Finance"/>
    <x v="2"/>
    <x v="0"/>
    <n v="189"/>
    <n v="289737"/>
    <n v="217103"/>
    <n v="888"/>
    <n v="72634"/>
    <n v="0.25068941833455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7EB30B-4FB7-4B9F-9822-95DB20F8269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
  <location ref="E27:G34" firstHeaderRow="0" firstDataRow="1" firstDataCol="1"/>
  <pivotFields count="12">
    <pivotField showAll="0"/>
    <pivotField showAll="0">
      <items count="4">
        <item x="1"/>
        <item x="0"/>
        <item x="2"/>
        <item t="default"/>
      </items>
    </pivotField>
    <pivotField axis="axisRow" showAll="0">
      <items count="7">
        <item x="4"/>
        <item x="2"/>
        <item x="1"/>
        <item x="3"/>
        <item x="5"/>
        <item x="0"/>
        <item t="default"/>
      </items>
    </pivotField>
    <pivotField showAll="0"/>
    <pivotField showAll="0">
      <items count="5">
        <item x="3"/>
        <item x="1"/>
        <item x="0"/>
        <item x="2"/>
        <item t="default"/>
      </items>
    </pivotField>
    <pivotField showAll="0">
      <items count="4">
        <item x="2"/>
        <item x="0"/>
        <item x="1"/>
        <item t="default"/>
      </items>
    </pivotField>
    <pivotField dataField="1" showAll="0"/>
    <pivotField showAll="0"/>
    <pivotField showAll="0"/>
    <pivotField dataField="1" showAll="0"/>
    <pivotField showAll="0"/>
    <pivotField numFmtId="10" showAll="0"/>
  </pivotFields>
  <rowFields count="1">
    <field x="2"/>
  </rowFields>
  <rowItems count="7">
    <i>
      <x/>
    </i>
    <i>
      <x v="1"/>
    </i>
    <i>
      <x v="2"/>
    </i>
    <i>
      <x v="3"/>
    </i>
    <i>
      <x v="4"/>
    </i>
    <i>
      <x v="5"/>
    </i>
    <i t="grand">
      <x/>
    </i>
  </rowItems>
  <colFields count="1">
    <field x="-2"/>
  </colFields>
  <colItems count="2">
    <i>
      <x/>
    </i>
    <i i="1">
      <x v="1"/>
    </i>
  </colItems>
  <dataFields count="2">
    <dataField name="Sum of Units_Sold" fld="6" baseField="0" baseItem="0"/>
    <dataField name="Sum of Inventory" fld="9" baseField="0" baseItem="0"/>
  </dataFields>
  <formats count="12">
    <format dxfId="13">
      <pivotArea type="all" dataOnly="0" outline="0" fieldPosition="0"/>
    </format>
    <format dxfId="12">
      <pivotArea outline="0" collapsedLevelsAreSubtotals="1" fieldPosition="0"/>
    </format>
    <format dxfId="11">
      <pivotArea field="2" type="button" dataOnly="0" labelOnly="1" outline="0" axis="axisRow" fieldPosition="0"/>
    </format>
    <format dxfId="10">
      <pivotArea dataOnly="0" labelOnly="1" fieldPosition="0">
        <references count="1">
          <reference field="2" count="0"/>
        </references>
      </pivotArea>
    </format>
    <format dxfId="9">
      <pivotArea dataOnly="0" labelOnly="1" grandRow="1" outline="0" fieldPosition="0"/>
    </format>
    <format dxfId="8">
      <pivotArea dataOnly="0" labelOnly="1" outline="0" fieldPosition="0">
        <references count="1">
          <reference field="4294967294" count="2">
            <x v="0"/>
            <x v="1"/>
          </reference>
        </references>
      </pivotArea>
    </format>
    <format dxfId="7">
      <pivotArea type="all" dataOnly="0" outline="0" fieldPosition="0"/>
    </format>
    <format dxfId="6">
      <pivotArea outline="0" collapsedLevelsAreSubtotals="1" fieldPosition="0"/>
    </format>
    <format dxfId="5">
      <pivotArea field="2" type="button" dataOnly="0" labelOnly="1" outline="0" axis="axisRow" fieldPosition="0"/>
    </format>
    <format dxfId="4">
      <pivotArea dataOnly="0" labelOnly="1" fieldPosition="0">
        <references count="1">
          <reference field="2" count="0"/>
        </references>
      </pivotArea>
    </format>
    <format dxfId="3">
      <pivotArea dataOnly="0" labelOnly="1" grandRow="1" outline="0" fieldPosition="0"/>
    </format>
    <format dxfId="2">
      <pivotArea dataOnly="0" labelOnly="1" outline="0" fieldPosition="0">
        <references count="1">
          <reference field="4294967294" count="2">
            <x v="0"/>
            <x v="1"/>
          </reference>
        </references>
      </pivotArea>
    </format>
  </format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45C704-9F8D-40EA-B833-2E1E028FBC7B}" name="PivotTable2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I1:I2" firstHeaderRow="1" firstDataRow="1" firstDataCol="0"/>
  <pivotFields count="12">
    <pivotField showAll="0"/>
    <pivotField showAll="0">
      <items count="4">
        <item x="1"/>
        <item x="0"/>
        <item x="2"/>
        <item t="default"/>
      </items>
    </pivotField>
    <pivotField showAll="0">
      <items count="7">
        <item x="4"/>
        <item x="2"/>
        <item x="1"/>
        <item x="3"/>
        <item x="5"/>
        <item x="0"/>
        <item t="default"/>
      </items>
    </pivotField>
    <pivotField showAll="0"/>
    <pivotField showAll="0">
      <items count="5">
        <item x="3"/>
        <item x="1"/>
        <item x="0"/>
        <item x="2"/>
        <item t="default"/>
      </items>
    </pivotField>
    <pivotField showAll="0">
      <items count="4">
        <item x="2"/>
        <item x="0"/>
        <item x="1"/>
        <item t="default"/>
      </items>
    </pivotField>
    <pivotField showAll="0"/>
    <pivotField showAll="0"/>
    <pivotField showAll="0"/>
    <pivotField showAll="0"/>
    <pivotField showAll="0"/>
    <pivotField dataField="1" numFmtId="10" showAll="0"/>
  </pivotFields>
  <rowItems count="1">
    <i/>
  </rowItems>
  <colItems count="1">
    <i/>
  </colItems>
  <dataFields count="1">
    <dataField name="Average of Profit %" fld="11" subtotal="average" baseField="0" baseItem="0" numFmtId="10"/>
  </dataFields>
  <formats count="18">
    <format dxfId="31">
      <pivotArea outline="0" collapsedLevelsAreSubtotals="1" fieldPosition="0"/>
    </format>
    <format dxfId="30">
      <pivotArea type="all" dataOnly="0" outline="0" fieldPosition="0"/>
    </format>
    <format dxfId="29">
      <pivotArea outline="0" collapsedLevelsAreSubtotals="1" fieldPosition="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dataOnly="0" labelOnly="1" outline="0" axis="axisValues" fieldPosition="0"/>
    </format>
    <format dxfId="24">
      <pivotArea dataOnly="0" outline="0" axis="axisValues" fieldPosition="0"/>
    </format>
    <format dxfId="23">
      <pivotArea dataOnly="0" labelOnly="1" outline="0" axis="axisValues" fieldPosition="0"/>
    </format>
    <format dxfId="22">
      <pivotArea dataOnly="0" outline="0" axis="axisValues" fieldPosition="0"/>
    </format>
    <format dxfId="21">
      <pivotArea type="all" dataOnly="0" outline="0" fieldPosition="0"/>
    </format>
    <format dxfId="20">
      <pivotArea dataOnly="0" labelOnly="1" outline="0" axis="axisValues" fieldPosition="0"/>
    </format>
    <format dxfId="19">
      <pivotArea outline="0" collapsedLevelsAreSubtotals="1" fieldPosition="0"/>
    </format>
    <format dxfId="18">
      <pivotArea outline="0" collapsedLevelsAreSubtotals="1" fieldPosition="0"/>
    </format>
    <format dxfId="17">
      <pivotArea outline="0" collapsedLevelsAreSubtotals="1" fieldPosition="0"/>
    </format>
    <format dxfId="16">
      <pivotArea type="all" dataOnly="0" outline="0" fieldPosition="0"/>
    </format>
    <format dxfId="15">
      <pivotArea outline="0" collapsedLevelsAreSubtotals="1" fieldPosition="0"/>
    </format>
    <format dxfId="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5FC215-3447-4009-9304-E5228B58AC4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hannel">
  <location ref="A28:B32" firstHeaderRow="1" firstDataRow="1" firstDataCol="1"/>
  <pivotFields count="12">
    <pivotField showAll="0"/>
    <pivotField showAll="0">
      <items count="4">
        <item x="1"/>
        <item x="0"/>
        <item x="2"/>
        <item t="default"/>
      </items>
    </pivotField>
    <pivotField showAll="0">
      <items count="7">
        <item x="4"/>
        <item x="2"/>
        <item x="1"/>
        <item x="3"/>
        <item x="5"/>
        <item x="0"/>
        <item t="default"/>
      </items>
    </pivotField>
    <pivotField showAll="0"/>
    <pivotField showAll="0">
      <items count="5">
        <item x="3"/>
        <item x="1"/>
        <item x="0"/>
        <item x="2"/>
        <item t="default"/>
      </items>
    </pivotField>
    <pivotField axis="axisRow" showAll="0">
      <items count="4">
        <item x="2"/>
        <item x="0"/>
        <item x="1"/>
        <item t="default"/>
      </items>
    </pivotField>
    <pivotField showAll="0"/>
    <pivotField dataField="1" showAll="0"/>
    <pivotField showAll="0"/>
    <pivotField showAll="0"/>
    <pivotField showAll="0"/>
    <pivotField numFmtId="10" showAll="0"/>
  </pivotFields>
  <rowFields count="1">
    <field x="5"/>
  </rowFields>
  <rowItems count="4">
    <i>
      <x/>
    </i>
    <i>
      <x v="1"/>
    </i>
    <i>
      <x v="2"/>
    </i>
    <i t="grand">
      <x/>
    </i>
  </rowItems>
  <colItems count="1">
    <i/>
  </colItems>
  <dataFields count="1">
    <dataField name="Sum of Revenue" fld="7" baseField="0" baseItem="0"/>
  </dataFields>
  <formats count="12">
    <format dxfId="43">
      <pivotArea type="all" dataOnly="0" outline="0" fieldPosition="0"/>
    </format>
    <format dxfId="42">
      <pivotArea outline="0" collapsedLevelsAreSubtotals="1" fieldPosition="0"/>
    </format>
    <format dxfId="41">
      <pivotArea field="5" type="button" dataOnly="0" labelOnly="1" outline="0" axis="axisRow" fieldPosition="0"/>
    </format>
    <format dxfId="40">
      <pivotArea dataOnly="0" labelOnly="1" fieldPosition="0">
        <references count="1">
          <reference field="5" count="0"/>
        </references>
      </pivotArea>
    </format>
    <format dxfId="39">
      <pivotArea dataOnly="0" labelOnly="1" grandRow="1" outline="0" fieldPosition="0"/>
    </format>
    <format dxfId="38">
      <pivotArea dataOnly="0" labelOnly="1" outline="0" axis="axisValues" fieldPosition="0"/>
    </format>
    <format dxfId="37">
      <pivotArea type="all" dataOnly="0" outline="0" fieldPosition="0"/>
    </format>
    <format dxfId="36">
      <pivotArea outline="0" collapsedLevelsAreSubtotals="1" fieldPosition="0"/>
    </format>
    <format dxfId="35">
      <pivotArea field="5" type="button" dataOnly="0" labelOnly="1" outline="0" axis="axisRow" fieldPosition="0"/>
    </format>
    <format dxfId="34">
      <pivotArea dataOnly="0" labelOnly="1" fieldPosition="0">
        <references count="1">
          <reference field="5" count="0"/>
        </references>
      </pivotArea>
    </format>
    <format dxfId="33">
      <pivotArea dataOnly="0" labelOnly="1" grandRow="1" outline="0" fieldPosition="0"/>
    </format>
    <format dxfId="32">
      <pivotArea dataOnly="0" labelOnly="1" outline="0" axis="axisValues"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5" count="1" selected="0">
            <x v="0"/>
          </reference>
        </references>
      </pivotArea>
    </chartFormat>
    <chartFormat chart="2" format="7">
      <pivotArea type="data" outline="0" fieldPosition="0">
        <references count="2">
          <reference field="4294967294" count="1" selected="0">
            <x v="0"/>
          </reference>
          <reference field="5" count="1" selected="0">
            <x v="1"/>
          </reference>
        </references>
      </pivotArea>
    </chartFormat>
    <chartFormat chart="2"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9B5C05-AB9F-428B-8560-0A2CAF10756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Region">
  <location ref="J27:K32" firstHeaderRow="1" firstDataRow="1" firstDataCol="1"/>
  <pivotFields count="12">
    <pivotField showAll="0"/>
    <pivotField showAll="0">
      <items count="4">
        <item x="1"/>
        <item x="0"/>
        <item x="2"/>
        <item t="default"/>
      </items>
    </pivotField>
    <pivotField showAll="0">
      <items count="7">
        <item x="4"/>
        <item x="2"/>
        <item x="1"/>
        <item x="3"/>
        <item x="5"/>
        <item x="0"/>
        <item t="default"/>
      </items>
    </pivotField>
    <pivotField showAll="0"/>
    <pivotField axis="axisRow" showAll="0">
      <items count="5">
        <item x="3"/>
        <item x="1"/>
        <item x="0"/>
        <item x="2"/>
        <item t="default"/>
      </items>
    </pivotField>
    <pivotField showAll="0">
      <items count="4">
        <item x="2"/>
        <item x="0"/>
        <item x="1"/>
        <item t="default"/>
      </items>
    </pivotField>
    <pivotField showAll="0"/>
    <pivotField dataField="1" showAll="0"/>
    <pivotField showAll="0"/>
    <pivotField showAll="0"/>
    <pivotField showAll="0"/>
    <pivotField numFmtId="10" showAll="0"/>
  </pivotFields>
  <rowFields count="1">
    <field x="4"/>
  </rowFields>
  <rowItems count="5">
    <i>
      <x/>
    </i>
    <i>
      <x v="1"/>
    </i>
    <i>
      <x v="2"/>
    </i>
    <i>
      <x v="3"/>
    </i>
    <i t="grand">
      <x/>
    </i>
  </rowItems>
  <colItems count="1">
    <i/>
  </colItems>
  <dataFields count="1">
    <dataField name="Sum of Revenue" fld="7" baseField="0" baseItem="0"/>
  </dataFields>
  <formats count="12">
    <format dxfId="55">
      <pivotArea type="all" dataOnly="0" outline="0" fieldPosition="0"/>
    </format>
    <format dxfId="54">
      <pivotArea outline="0" collapsedLevelsAreSubtotals="1" fieldPosition="0"/>
    </format>
    <format dxfId="53">
      <pivotArea field="4" type="button" dataOnly="0" labelOnly="1" outline="0" axis="axisRow" fieldPosition="0"/>
    </format>
    <format dxfId="52">
      <pivotArea dataOnly="0" labelOnly="1" fieldPosition="0">
        <references count="1">
          <reference field="4" count="0"/>
        </references>
      </pivotArea>
    </format>
    <format dxfId="51">
      <pivotArea dataOnly="0" labelOnly="1" grandRow="1" outline="0" fieldPosition="0"/>
    </format>
    <format dxfId="50">
      <pivotArea dataOnly="0" labelOnly="1" outline="0" axis="axisValues" fieldPosition="0"/>
    </format>
    <format dxfId="49">
      <pivotArea type="all" dataOnly="0" outline="0" fieldPosition="0"/>
    </format>
    <format dxfId="48">
      <pivotArea outline="0" collapsedLevelsAreSubtotals="1" fieldPosition="0"/>
    </format>
    <format dxfId="47">
      <pivotArea field="4" type="button" dataOnly="0" labelOnly="1" outline="0" axis="axisRow" fieldPosition="0"/>
    </format>
    <format dxfId="46">
      <pivotArea dataOnly="0" labelOnly="1" fieldPosition="0">
        <references count="1">
          <reference field="4" count="0"/>
        </references>
      </pivotArea>
    </format>
    <format dxfId="45">
      <pivotArea dataOnly="0" labelOnly="1" grandRow="1" outline="0" fieldPosition="0"/>
    </format>
    <format dxfId="4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B29D85-9198-4DC2-B118-2233227DAD5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C27:D34" firstHeaderRow="1" firstDataRow="1" firstDataCol="1"/>
  <pivotFields count="12">
    <pivotField showAll="0"/>
    <pivotField showAll="0">
      <items count="4">
        <item x="1"/>
        <item x="0"/>
        <item x="2"/>
        <item t="default"/>
      </items>
    </pivotField>
    <pivotField axis="axisRow" showAll="0">
      <items count="7">
        <item x="4"/>
        <item x="2"/>
        <item x="1"/>
        <item x="3"/>
        <item x="5"/>
        <item x="0"/>
        <item t="default"/>
      </items>
    </pivotField>
    <pivotField showAll="0"/>
    <pivotField showAll="0">
      <items count="5">
        <item x="3"/>
        <item x="1"/>
        <item x="0"/>
        <item x="2"/>
        <item t="default"/>
      </items>
    </pivotField>
    <pivotField showAll="0">
      <items count="4">
        <item x="2"/>
        <item x="0"/>
        <item x="1"/>
        <item t="default"/>
      </items>
    </pivotField>
    <pivotField showAll="0"/>
    <pivotField showAll="0"/>
    <pivotField showAll="0"/>
    <pivotField showAll="0"/>
    <pivotField dataField="1" showAll="0"/>
    <pivotField numFmtId="10" showAll="0"/>
  </pivotFields>
  <rowFields count="1">
    <field x="2"/>
  </rowFields>
  <rowItems count="7">
    <i>
      <x/>
    </i>
    <i>
      <x v="1"/>
    </i>
    <i>
      <x v="2"/>
    </i>
    <i>
      <x v="3"/>
    </i>
    <i>
      <x v="4"/>
    </i>
    <i>
      <x v="5"/>
    </i>
    <i t="grand">
      <x/>
    </i>
  </rowItems>
  <colItems count="1">
    <i/>
  </colItems>
  <dataFields count="1">
    <dataField name="Sum of profit" fld="10" baseField="0" baseItem="0"/>
  </dataFields>
  <formats count="12">
    <format dxfId="67">
      <pivotArea type="all" dataOnly="0" outline="0" fieldPosition="0"/>
    </format>
    <format dxfId="66">
      <pivotArea outline="0" collapsedLevelsAreSubtotals="1" fieldPosition="0"/>
    </format>
    <format dxfId="65">
      <pivotArea field="2" type="button" dataOnly="0" labelOnly="1" outline="0" axis="axisRow" fieldPosition="0"/>
    </format>
    <format dxfId="64">
      <pivotArea dataOnly="0" labelOnly="1" fieldPosition="0">
        <references count="1">
          <reference field="2" count="0"/>
        </references>
      </pivotArea>
    </format>
    <format dxfId="63">
      <pivotArea dataOnly="0" labelOnly="1" grandRow="1" outline="0" fieldPosition="0"/>
    </format>
    <format dxfId="62">
      <pivotArea dataOnly="0" labelOnly="1" outline="0" axis="axisValues" fieldPosition="0"/>
    </format>
    <format dxfId="61">
      <pivotArea type="all" dataOnly="0" outline="0" fieldPosition="0"/>
    </format>
    <format dxfId="60">
      <pivotArea outline="0" collapsedLevelsAreSubtotals="1" fieldPosition="0"/>
    </format>
    <format dxfId="59">
      <pivotArea field="2" type="button" dataOnly="0" labelOnly="1" outline="0" axis="axisRow" fieldPosition="0"/>
    </format>
    <format dxfId="58">
      <pivotArea dataOnly="0" labelOnly="1" fieldPosition="0">
        <references count="1">
          <reference field="2" count="0"/>
        </references>
      </pivotArea>
    </format>
    <format dxfId="57">
      <pivotArea dataOnly="0" labelOnly="1" grandRow="1" outline="0" fieldPosition="0"/>
    </format>
    <format dxfId="5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216E03-C400-48CC-99B2-A9A3D672E585}" name="PivotTable2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E1:E2" firstHeaderRow="1" firstDataRow="1" firstDataCol="0"/>
  <pivotFields count="12">
    <pivotField showAll="0"/>
    <pivotField showAll="0">
      <items count="4">
        <item x="1"/>
        <item x="0"/>
        <item x="2"/>
        <item t="default"/>
      </items>
    </pivotField>
    <pivotField showAll="0">
      <items count="7">
        <item x="4"/>
        <item x="2"/>
        <item x="1"/>
        <item x="3"/>
        <item x="5"/>
        <item x="0"/>
        <item t="default"/>
      </items>
    </pivotField>
    <pivotField showAll="0"/>
    <pivotField showAll="0">
      <items count="5">
        <item x="3"/>
        <item x="1"/>
        <item x="0"/>
        <item x="2"/>
        <item t="default"/>
      </items>
    </pivotField>
    <pivotField showAll="0">
      <items count="4">
        <item x="2"/>
        <item x="0"/>
        <item x="1"/>
        <item t="default"/>
      </items>
    </pivotField>
    <pivotField dataField="1" showAll="0"/>
    <pivotField showAll="0"/>
    <pivotField showAll="0"/>
    <pivotField showAll="0"/>
    <pivotField showAll="0"/>
    <pivotField numFmtId="10" showAll="0"/>
  </pivotFields>
  <rowItems count="1">
    <i/>
  </rowItems>
  <colItems count="1">
    <i/>
  </colItems>
  <dataFields count="1">
    <dataField name="Sum of Units_Sold" fld="6" baseField="0" baseItem="0"/>
  </dataFields>
  <formats count="15">
    <format dxfId="82">
      <pivotArea type="all" dataOnly="0" outline="0" fieldPosition="0"/>
    </format>
    <format dxfId="81">
      <pivotArea outline="0" collapsedLevelsAreSubtotals="1" fieldPosition="0"/>
    </format>
    <format dxfId="80">
      <pivotArea dataOnly="0" labelOnly="1" outline="0" axis="axisValues" fieldPosition="0"/>
    </format>
    <format dxfId="79">
      <pivotArea type="all" dataOnly="0" outline="0" fieldPosition="0"/>
    </format>
    <format dxfId="78">
      <pivotArea outline="0" collapsedLevelsAreSubtotals="1" fieldPosition="0"/>
    </format>
    <format dxfId="77">
      <pivotArea dataOnly="0" labelOnly="1" outline="0" axis="axisValues" fieldPosition="0"/>
    </format>
    <format dxfId="76">
      <pivotArea dataOnly="0" labelOnly="1" outline="0" axis="axisValues" fieldPosition="0"/>
    </format>
    <format dxfId="75">
      <pivotArea type="all" dataOnly="0" outline="0" fieldPosition="0"/>
    </format>
    <format dxfId="74">
      <pivotArea dataOnly="0" labelOnly="1" outline="0" axis="axisValues" fieldPosition="0"/>
    </format>
    <format dxfId="73">
      <pivotArea outline="0" collapsedLevelsAreSubtotals="1" fieldPosition="0"/>
    </format>
    <format dxfId="72">
      <pivotArea outline="0" collapsedLevelsAreSubtotals="1" fieldPosition="0"/>
    </format>
    <format dxfId="71">
      <pivotArea outline="0" collapsedLevelsAreSubtotals="1" fieldPosition="0"/>
    </format>
    <format dxfId="70">
      <pivotArea type="all" dataOnly="0" outline="0" fieldPosition="0"/>
    </format>
    <format dxfId="69">
      <pivotArea outline="0" collapsedLevelsAreSubtotals="1" fieldPosition="0"/>
    </format>
    <format dxfId="6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F8DF72-0AD4-4330-BE47-B7DDC37ABF64}" name="PivotTable2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1:C2" firstHeaderRow="1" firstDataRow="1" firstDataCol="0"/>
  <pivotFields count="12">
    <pivotField showAll="0"/>
    <pivotField showAll="0">
      <items count="4">
        <item x="1"/>
        <item x="0"/>
        <item x="2"/>
        <item t="default"/>
      </items>
    </pivotField>
    <pivotField showAll="0">
      <items count="7">
        <item x="4"/>
        <item x="2"/>
        <item x="1"/>
        <item x="3"/>
        <item x="5"/>
        <item x="0"/>
        <item t="default"/>
      </items>
    </pivotField>
    <pivotField showAll="0"/>
    <pivotField showAll="0">
      <items count="5">
        <item x="3"/>
        <item x="1"/>
        <item x="0"/>
        <item x="2"/>
        <item t="default"/>
      </items>
    </pivotField>
    <pivotField showAll="0">
      <items count="4">
        <item x="2"/>
        <item x="0"/>
        <item x="1"/>
        <item t="default"/>
      </items>
    </pivotField>
    <pivotField showAll="0"/>
    <pivotField dataField="1" showAll="0"/>
    <pivotField showAll="0"/>
    <pivotField showAll="0"/>
    <pivotField showAll="0"/>
    <pivotField numFmtId="10" showAll="0"/>
  </pivotFields>
  <rowItems count="1">
    <i/>
  </rowItems>
  <colItems count="1">
    <i/>
  </colItems>
  <dataFields count="1">
    <dataField name="Total Revenue" fld="7" baseField="0" baseItem="0" numFmtId="164"/>
  </dataFields>
  <formats count="17">
    <format dxfId="99">
      <pivotArea outline="0" collapsedLevelsAreSubtotals="1" fieldPosition="0"/>
    </format>
    <format dxfId="98">
      <pivotArea type="all" dataOnly="0" outline="0" fieldPosition="0"/>
    </format>
    <format dxfId="97">
      <pivotArea outline="0" collapsedLevelsAreSubtotals="1" fieldPosition="0"/>
    </format>
    <format dxfId="96">
      <pivotArea dataOnly="0" labelOnly="1" outline="0" axis="axisValues" fieldPosition="0"/>
    </format>
    <format dxfId="95">
      <pivotArea type="all" dataOnly="0" outline="0" fieldPosition="0"/>
    </format>
    <format dxfId="94">
      <pivotArea outline="0" collapsedLevelsAreSubtotals="1" fieldPosition="0"/>
    </format>
    <format dxfId="93">
      <pivotArea dataOnly="0" labelOnly="1" outline="0" axis="axisValues" fieldPosition="0"/>
    </format>
    <format dxfId="92">
      <pivotArea dataOnly="0" labelOnly="1" outline="0" axis="axisValues" fieldPosition="0"/>
    </format>
    <format dxfId="91">
      <pivotArea type="all" dataOnly="0" outline="0" fieldPosition="0"/>
    </format>
    <format dxfId="90">
      <pivotArea dataOnly="0" labelOnly="1" outline="0" axis="axisValues" fieldPosition="0"/>
    </format>
    <format dxfId="89">
      <pivotArea outline="0" collapsedLevelsAreSubtotals="1" fieldPosition="0"/>
    </format>
    <format dxfId="88">
      <pivotArea outline="0" collapsedLevelsAreSubtotals="1" fieldPosition="0"/>
    </format>
    <format dxfId="87">
      <pivotArea outline="0" collapsedLevelsAreSubtotals="1" fieldPosition="0"/>
    </format>
    <format dxfId="86">
      <pivotArea type="all" dataOnly="0" outline="0" fieldPosition="0"/>
    </format>
    <format dxfId="85">
      <pivotArea outline="0" collapsedLevelsAreSubtotals="1" fieldPosition="0"/>
    </format>
    <format dxfId="84">
      <pivotArea dataOnly="0" labelOnly="1" outline="0" axis="axisValues" fieldPosition="0"/>
    </format>
    <format dxfId="8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0C327C9-6497-4EE8-91BF-3DA21553ED0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duct">
  <location ref="H27:I34" firstHeaderRow="1" firstDataRow="1" firstDataCol="1"/>
  <pivotFields count="12">
    <pivotField showAll="0"/>
    <pivotField showAll="0">
      <items count="4">
        <item x="1"/>
        <item x="0"/>
        <item x="2"/>
        <item t="default"/>
      </items>
    </pivotField>
    <pivotField axis="axisRow" showAll="0">
      <items count="7">
        <item x="4"/>
        <item x="2"/>
        <item x="1"/>
        <item x="3"/>
        <item x="5"/>
        <item x="0"/>
        <item t="default"/>
      </items>
    </pivotField>
    <pivotField showAll="0"/>
    <pivotField showAll="0">
      <items count="5">
        <item x="3"/>
        <item x="1"/>
        <item x="0"/>
        <item x="2"/>
        <item t="default"/>
      </items>
    </pivotField>
    <pivotField showAll="0">
      <items count="4">
        <item x="2"/>
        <item x="0"/>
        <item x="1"/>
        <item t="default"/>
      </items>
    </pivotField>
    <pivotField showAll="0"/>
    <pivotField dataField="1" showAll="0"/>
    <pivotField showAll="0"/>
    <pivotField showAll="0"/>
    <pivotField showAll="0"/>
    <pivotField numFmtId="10" showAll="0"/>
  </pivotFields>
  <rowFields count="1">
    <field x="2"/>
  </rowFields>
  <rowItems count="7">
    <i>
      <x/>
    </i>
    <i>
      <x v="1"/>
    </i>
    <i>
      <x v="2"/>
    </i>
    <i>
      <x v="3"/>
    </i>
    <i>
      <x v="4"/>
    </i>
    <i>
      <x v="5"/>
    </i>
    <i t="grand">
      <x/>
    </i>
  </rowItems>
  <colItems count="1">
    <i/>
  </colItems>
  <dataFields count="1">
    <dataField name="Sum of Revenue" fld="7" baseField="0" baseItem="0"/>
  </dataFields>
  <formats count="13">
    <format dxfId="112">
      <pivotArea type="all" dataOnly="0" outline="0" fieldPosition="0"/>
    </format>
    <format dxfId="111">
      <pivotArea outline="0" collapsedLevelsAreSubtotals="1" fieldPosition="0"/>
    </format>
    <format dxfId="110">
      <pivotArea field="2" type="button" dataOnly="0" labelOnly="1" outline="0" axis="axisRow" fieldPosition="0"/>
    </format>
    <format dxfId="109">
      <pivotArea dataOnly="0" labelOnly="1" fieldPosition="0">
        <references count="1">
          <reference field="2" count="0"/>
        </references>
      </pivotArea>
    </format>
    <format dxfId="108">
      <pivotArea dataOnly="0" labelOnly="1" grandRow="1" outline="0" fieldPosition="0"/>
    </format>
    <format dxfId="107">
      <pivotArea dataOnly="0" labelOnly="1" outline="0" axis="axisValues" fieldPosition="0"/>
    </format>
    <format dxfId="106">
      <pivotArea type="all" dataOnly="0" outline="0" fieldPosition="0"/>
    </format>
    <format dxfId="105">
      <pivotArea outline="0" collapsedLevelsAreSubtotals="1" fieldPosition="0"/>
    </format>
    <format dxfId="104">
      <pivotArea field="2" type="button" dataOnly="0" labelOnly="1" outline="0" axis="axisRow" fieldPosition="0"/>
    </format>
    <format dxfId="103">
      <pivotArea dataOnly="0" labelOnly="1" fieldPosition="0">
        <references count="1">
          <reference field="2" count="0"/>
        </references>
      </pivotArea>
    </format>
    <format dxfId="102">
      <pivotArea dataOnly="0" labelOnly="1" grandRow="1" outline="0" fieldPosition="0"/>
    </format>
    <format dxfId="101">
      <pivotArea dataOnly="0" labelOnly="1" outline="0" axis="axisValues" fieldPosition="0"/>
    </format>
    <format dxfId="100">
      <pivotArea collapsedLevelsAreSubtotals="1" fieldPosition="0">
        <references count="1">
          <reference field="2" count="0"/>
        </references>
      </pivotArea>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860449E-8032-477F-A733-3A80D5FD134E}" name="PivotTable2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1:G2" firstHeaderRow="1" firstDataRow="1" firstDataCol="0"/>
  <pivotFields count="12">
    <pivotField showAll="0"/>
    <pivotField showAll="0">
      <items count="4">
        <item x="1"/>
        <item x="0"/>
        <item x="2"/>
        <item t="default"/>
      </items>
    </pivotField>
    <pivotField showAll="0">
      <items count="7">
        <item x="4"/>
        <item x="2"/>
        <item x="1"/>
        <item x="3"/>
        <item x="5"/>
        <item x="0"/>
        <item t="default"/>
      </items>
    </pivotField>
    <pivotField showAll="0"/>
    <pivotField showAll="0">
      <items count="5">
        <item x="3"/>
        <item x="1"/>
        <item x="0"/>
        <item x="2"/>
        <item t="default"/>
      </items>
    </pivotField>
    <pivotField showAll="0">
      <items count="4">
        <item x="2"/>
        <item x="0"/>
        <item x="1"/>
        <item t="default"/>
      </items>
    </pivotField>
    <pivotField showAll="0"/>
    <pivotField showAll="0"/>
    <pivotField showAll="0"/>
    <pivotField showAll="0"/>
    <pivotField dataField="1" showAll="0"/>
    <pivotField numFmtId="10" showAll="0"/>
  </pivotFields>
  <rowItems count="1">
    <i/>
  </rowItems>
  <colItems count="1">
    <i/>
  </colItems>
  <dataFields count="1">
    <dataField name="Sum of profit" fld="10" baseField="0" baseItem="0"/>
  </dataFields>
  <formats count="15">
    <format dxfId="127">
      <pivotArea type="all" dataOnly="0" outline="0" fieldPosition="0"/>
    </format>
    <format dxfId="126">
      <pivotArea outline="0" collapsedLevelsAreSubtotals="1" fieldPosition="0"/>
    </format>
    <format dxfId="125">
      <pivotArea dataOnly="0" labelOnly="1" outline="0" axis="axisValues" fieldPosition="0"/>
    </format>
    <format dxfId="124">
      <pivotArea type="all" dataOnly="0" outline="0" fieldPosition="0"/>
    </format>
    <format dxfId="123">
      <pivotArea outline="0" collapsedLevelsAreSubtotals="1" fieldPosition="0"/>
    </format>
    <format dxfId="122">
      <pivotArea dataOnly="0" labelOnly="1" outline="0" axis="axisValues" fieldPosition="0"/>
    </format>
    <format dxfId="121">
      <pivotArea dataOnly="0" labelOnly="1" outline="0" axis="axisValues" fieldPosition="0"/>
    </format>
    <format dxfId="120">
      <pivotArea type="all" dataOnly="0" outline="0" fieldPosition="0"/>
    </format>
    <format dxfId="119">
      <pivotArea dataOnly="0" labelOnly="1" outline="0" axis="axisValues" fieldPosition="0"/>
    </format>
    <format dxfId="118">
      <pivotArea outline="0" collapsedLevelsAreSubtotals="1" fieldPosition="0"/>
    </format>
    <format dxfId="117">
      <pivotArea outline="0" collapsedLevelsAreSubtotals="1" fieldPosition="0"/>
    </format>
    <format dxfId="116">
      <pivotArea outline="0" collapsedLevelsAreSubtotals="1" fieldPosition="0"/>
    </format>
    <format dxfId="115">
      <pivotArea type="all" dataOnly="0" outline="0" fieldPosition="0"/>
    </format>
    <format dxfId="114">
      <pivotArea outline="0" collapsedLevelsAreSubtotals="1" fieldPosition="0"/>
    </format>
    <format dxfId="11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C1A7F47-572B-4FA0-95FD-38DF6E2E2A32}" sourceName="Product">
  <pivotTables>
    <pivotTable tabId="4" name="PivotTable3"/>
    <pivotTable tabId="4" name="PivotTable2"/>
    <pivotTable tabId="4" name="PivotTable24"/>
    <pivotTable tabId="4" name="PivotTable25"/>
    <pivotTable tabId="4" name="PivotTable26"/>
    <pivotTable tabId="4" name="PivotTable27"/>
  </pivotTables>
  <data>
    <tabular pivotCacheId="590927240">
      <items count="6">
        <i x="4" s="1"/>
        <i x="2" s="1"/>
        <i x="1" s="1"/>
        <i x="3" s="1"/>
        <i x="5"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78982BA-E667-4928-962D-E9C7AABCBFC0}" sourceName="Region">
  <pivotTables>
    <pivotTable tabId="4" name="PivotTable1"/>
    <pivotTable tabId="4" name="PivotTable4"/>
    <pivotTable tabId="4" name="PivotTable3"/>
    <pivotTable tabId="4" name="PivotTable5"/>
    <pivotTable tabId="4" name="PivotTable24"/>
    <pivotTable tabId="4" name="PivotTable25"/>
    <pivotTable tabId="4" name="PivotTable26"/>
    <pivotTable tabId="4" name="PivotTable27"/>
  </pivotTables>
  <data>
    <tabular pivotCacheId="590927240">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40BB0444-CD92-42E6-9DCD-3602CEE783D7}" sourceName="Channel">
  <pivotTables>
    <pivotTable tabId="4" name="PivotTable1"/>
    <pivotTable tabId="4" name="PivotTable4"/>
    <pivotTable tabId="4" name="PivotTable2"/>
    <pivotTable tabId="4" name="PivotTable5"/>
    <pivotTable tabId="4" name="PivotTable24"/>
    <pivotTable tabId="4" name="PivotTable25"/>
    <pivotTable tabId="4" name="PivotTable26"/>
    <pivotTable tabId="4" name="PivotTable27"/>
  </pivotTables>
  <data>
    <tabular pivotCacheId="590927240">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F8E5C7D-02CE-4E96-8081-A57D68D68085}" sourceName="Month">
  <pivotTables>
    <pivotTable tabId="4" name="PivotTable1"/>
    <pivotTable tabId="4" name="PivotTable4"/>
    <pivotTable tabId="4" name="PivotTable3"/>
    <pivotTable tabId="4" name="PivotTable2"/>
    <pivotTable tabId="4" name="PivotTable5"/>
    <pivotTable tabId="4" name="PivotTable24"/>
    <pivotTable tabId="4" name="PivotTable25"/>
    <pivotTable tabId="4" name="PivotTable26"/>
    <pivotTable tabId="4" name="PivotTable27"/>
  </pivotTables>
  <data>
    <tabular pivotCacheId="59092724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F023C579-48D2-4502-8CEA-66DE6285061A}" cache="Slicer_Product" caption="Product" columnCount="6" style="SlicerStyleDark4" rowHeight="360000"/>
  <slicer name="Region" xr10:uid="{E5146922-A6DE-40A9-9C34-8DA3DBC4F583}" cache="Slicer_Region" caption="Region" style="SlicerStyleLight3" rowHeight="360000"/>
  <slicer name="Channel" xr10:uid="{23E1E4DF-8B53-4B65-9C52-F933B887621C}" cache="Slicer_Channel" caption="Channel" style="SlicerStyleLight6" rowHeight="360000"/>
  <slicer name="Month" xr10:uid="{43BB10A4-D24C-4C2C-881D-821832E7AB9E}" cache="Slicer_Month" caption="Month" columnCount="3" style="SlicerStyleDark2"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231E9F-E0D7-4F6D-B3D4-ABAC18F87145}" name="Table1" displayName="Table1" ref="A1:L301" totalsRowShown="0">
  <tableColumns count="12">
    <tableColumn id="1" xr3:uid="{C68AF8D1-B456-4508-A717-DDB98F06E555}" name="Date"/>
    <tableColumn id="2" xr3:uid="{178565D9-2652-4728-8CE9-1AA88C61FE39}" name="Month">
      <calculatedColumnFormula>TEXT(A2,"mmmm")</calculatedColumnFormula>
    </tableColumn>
    <tableColumn id="3" xr3:uid="{C46CA9E7-EB37-48DB-8751-AD6B1E233656}" name="Product"/>
    <tableColumn id="4" xr3:uid="{F78B442D-A784-4635-A725-A59510BE1E75}" name="Category"/>
    <tableColumn id="5" xr3:uid="{3A0B6787-E0C8-414D-9FC9-493D82B6CEB0}" name="Region"/>
    <tableColumn id="6" xr3:uid="{910F9BCA-E114-4AEF-921D-3C186FBC8654}" name="Channel"/>
    <tableColumn id="7" xr3:uid="{0800A398-33FA-4F93-BB52-067C6C034F97}" name="Units_Sold"/>
    <tableColumn id="8" xr3:uid="{8E4567A7-6FDC-49B8-8752-8A1F9F999521}" name="Revenue"/>
    <tableColumn id="9" xr3:uid="{EF600743-C697-4367-BFE8-68EE1688BB52}" name="Cost"/>
    <tableColumn id="10" xr3:uid="{E478CAC0-CD51-48C6-95D2-8CB8A99575F8}" name="Inventory"/>
    <tableColumn id="11" xr3:uid="{6AAD2C8C-D219-4EEA-86EF-7ED97B9B3FF6}" name="profit" dataDxfId="1">
      <calculatedColumnFormula>Table1[[#This Row],[Revenue]]-Table1[[#This Row],[Cost]]</calculatedColumnFormula>
    </tableColumn>
    <tableColumn id="12" xr3:uid="{81378687-7A49-497E-B469-CB4A2047B5AF}" name="Profit %" dataDxfId="0" dataCellStyle="Percent">
      <calculatedColumnFormula>Table1[[#This Row],[profit]]/Table1[[#This Row],[Revenue]]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01"/>
  <sheetViews>
    <sheetView workbookViewId="0">
      <selection activeCell="E7" sqref="E7"/>
    </sheetView>
  </sheetViews>
  <sheetFormatPr defaultRowHeight="14.5" x14ac:dyDescent="0.35"/>
  <cols>
    <col min="1" max="1" width="10.08984375" bestFit="1" customWidth="1"/>
  </cols>
  <sheetData>
    <row r="1" spans="1:9" x14ac:dyDescent="0.35">
      <c r="A1" t="s">
        <v>0</v>
      </c>
      <c r="B1" t="s">
        <v>1</v>
      </c>
      <c r="C1" t="s">
        <v>2</v>
      </c>
      <c r="D1" t="s">
        <v>3</v>
      </c>
      <c r="E1" t="s">
        <v>4</v>
      </c>
      <c r="F1" t="s">
        <v>5</v>
      </c>
      <c r="G1" t="s">
        <v>6</v>
      </c>
      <c r="H1" t="s">
        <v>7</v>
      </c>
      <c r="I1" t="s">
        <v>8</v>
      </c>
    </row>
    <row r="2" spans="1:9" x14ac:dyDescent="0.35">
      <c r="A2" t="s">
        <v>9</v>
      </c>
      <c r="B2" t="s">
        <v>10</v>
      </c>
      <c r="C2" t="s">
        <v>11</v>
      </c>
      <c r="D2" t="s">
        <v>12</v>
      </c>
      <c r="E2" t="s">
        <v>13</v>
      </c>
      <c r="F2">
        <v>117</v>
      </c>
      <c r="G2">
        <v>197262</v>
      </c>
      <c r="H2">
        <v>125651</v>
      </c>
      <c r="I2">
        <v>944</v>
      </c>
    </row>
    <row r="3" spans="1:9" x14ac:dyDescent="0.35">
      <c r="A3" t="s">
        <v>14</v>
      </c>
      <c r="B3" t="s">
        <v>15</v>
      </c>
      <c r="C3" t="s">
        <v>11</v>
      </c>
      <c r="D3" t="s">
        <v>16</v>
      </c>
      <c r="E3" t="s">
        <v>17</v>
      </c>
      <c r="F3">
        <v>176</v>
      </c>
      <c r="G3">
        <v>358512</v>
      </c>
      <c r="H3">
        <v>298611</v>
      </c>
      <c r="I3">
        <v>927</v>
      </c>
    </row>
    <row r="4" spans="1:9" x14ac:dyDescent="0.35">
      <c r="A4" t="s">
        <v>18</v>
      </c>
      <c r="B4" t="s">
        <v>19</v>
      </c>
      <c r="C4" t="s">
        <v>11</v>
      </c>
      <c r="D4" t="s">
        <v>20</v>
      </c>
      <c r="E4" t="s">
        <v>17</v>
      </c>
      <c r="F4">
        <v>110</v>
      </c>
      <c r="G4">
        <v>245190</v>
      </c>
      <c r="H4">
        <v>160045</v>
      </c>
      <c r="I4">
        <v>479</v>
      </c>
    </row>
    <row r="5" spans="1:9" x14ac:dyDescent="0.35">
      <c r="A5" t="s">
        <v>21</v>
      </c>
      <c r="B5" t="s">
        <v>22</v>
      </c>
      <c r="C5" t="s">
        <v>11</v>
      </c>
      <c r="D5" t="s">
        <v>20</v>
      </c>
      <c r="E5" t="s">
        <v>13</v>
      </c>
      <c r="F5">
        <v>51</v>
      </c>
      <c r="G5">
        <v>86853</v>
      </c>
      <c r="H5">
        <v>67830</v>
      </c>
      <c r="I5">
        <v>289</v>
      </c>
    </row>
    <row r="6" spans="1:9" x14ac:dyDescent="0.35">
      <c r="A6" t="s">
        <v>23</v>
      </c>
      <c r="B6" t="s">
        <v>24</v>
      </c>
      <c r="C6" t="s">
        <v>11</v>
      </c>
      <c r="D6" t="s">
        <v>12</v>
      </c>
      <c r="E6" t="s">
        <v>17</v>
      </c>
      <c r="F6">
        <v>120</v>
      </c>
      <c r="G6">
        <v>277320</v>
      </c>
      <c r="H6">
        <v>192033</v>
      </c>
      <c r="I6">
        <v>578</v>
      </c>
    </row>
    <row r="7" spans="1:9" x14ac:dyDescent="0.35">
      <c r="A7" t="s">
        <v>25</v>
      </c>
      <c r="B7" t="s">
        <v>19</v>
      </c>
      <c r="C7" t="s">
        <v>11</v>
      </c>
      <c r="D7" t="s">
        <v>16</v>
      </c>
      <c r="E7" t="s">
        <v>13</v>
      </c>
      <c r="F7">
        <v>78</v>
      </c>
      <c r="G7">
        <v>194610</v>
      </c>
      <c r="H7">
        <v>164436</v>
      </c>
      <c r="I7">
        <v>607</v>
      </c>
    </row>
    <row r="8" spans="1:9" x14ac:dyDescent="0.35">
      <c r="A8" t="s">
        <v>26</v>
      </c>
      <c r="B8" t="s">
        <v>22</v>
      </c>
      <c r="C8" t="s">
        <v>11</v>
      </c>
      <c r="D8" t="s">
        <v>16</v>
      </c>
      <c r="E8" t="s">
        <v>17</v>
      </c>
      <c r="F8">
        <v>152</v>
      </c>
      <c r="G8">
        <v>357048</v>
      </c>
      <c r="H8">
        <v>234125</v>
      </c>
      <c r="I8">
        <v>657</v>
      </c>
    </row>
    <row r="9" spans="1:9" x14ac:dyDescent="0.35">
      <c r="A9" t="s">
        <v>27</v>
      </c>
      <c r="B9" t="s">
        <v>19</v>
      </c>
      <c r="C9" t="s">
        <v>11</v>
      </c>
      <c r="D9" t="s">
        <v>12</v>
      </c>
      <c r="E9" t="s">
        <v>13</v>
      </c>
      <c r="F9">
        <v>135</v>
      </c>
      <c r="G9">
        <v>324945</v>
      </c>
      <c r="H9">
        <v>270501</v>
      </c>
      <c r="I9">
        <v>456</v>
      </c>
    </row>
    <row r="10" spans="1:9" x14ac:dyDescent="0.35">
      <c r="A10" t="s">
        <v>28</v>
      </c>
      <c r="B10" t="s">
        <v>19</v>
      </c>
      <c r="C10" t="s">
        <v>11</v>
      </c>
      <c r="D10" t="s">
        <v>20</v>
      </c>
      <c r="E10" t="s">
        <v>13</v>
      </c>
      <c r="F10">
        <v>143</v>
      </c>
      <c r="G10">
        <v>346918</v>
      </c>
      <c r="H10">
        <v>241026</v>
      </c>
      <c r="I10">
        <v>816</v>
      </c>
    </row>
    <row r="11" spans="1:9" x14ac:dyDescent="0.35">
      <c r="A11" t="s">
        <v>18</v>
      </c>
      <c r="B11" t="s">
        <v>22</v>
      </c>
      <c r="C11" t="s">
        <v>11</v>
      </c>
      <c r="D11" t="s">
        <v>29</v>
      </c>
      <c r="E11" t="s">
        <v>30</v>
      </c>
      <c r="F11">
        <v>171</v>
      </c>
      <c r="G11">
        <v>389538</v>
      </c>
      <c r="H11">
        <v>270844</v>
      </c>
      <c r="I11">
        <v>353</v>
      </c>
    </row>
    <row r="12" spans="1:9" x14ac:dyDescent="0.35">
      <c r="A12" t="s">
        <v>31</v>
      </c>
      <c r="B12" t="s">
        <v>19</v>
      </c>
      <c r="C12" t="s">
        <v>11</v>
      </c>
      <c r="D12" t="s">
        <v>20</v>
      </c>
      <c r="E12" t="s">
        <v>17</v>
      </c>
      <c r="F12">
        <v>106</v>
      </c>
      <c r="G12">
        <v>256096</v>
      </c>
      <c r="H12">
        <v>183938</v>
      </c>
      <c r="I12">
        <v>409</v>
      </c>
    </row>
    <row r="13" spans="1:9" x14ac:dyDescent="0.35">
      <c r="A13" t="s">
        <v>32</v>
      </c>
      <c r="B13" t="s">
        <v>22</v>
      </c>
      <c r="C13" t="s">
        <v>11</v>
      </c>
      <c r="D13" t="s">
        <v>16</v>
      </c>
      <c r="E13" t="s">
        <v>30</v>
      </c>
      <c r="F13">
        <v>192</v>
      </c>
      <c r="G13">
        <v>344448</v>
      </c>
      <c r="H13">
        <v>226473</v>
      </c>
      <c r="I13">
        <v>963</v>
      </c>
    </row>
    <row r="14" spans="1:9" x14ac:dyDescent="0.35">
      <c r="A14" t="s">
        <v>33</v>
      </c>
      <c r="B14" t="s">
        <v>15</v>
      </c>
      <c r="C14" t="s">
        <v>11</v>
      </c>
      <c r="D14" t="s">
        <v>29</v>
      </c>
      <c r="E14" t="s">
        <v>30</v>
      </c>
      <c r="F14">
        <v>97</v>
      </c>
      <c r="G14">
        <v>204185</v>
      </c>
      <c r="H14">
        <v>140399</v>
      </c>
      <c r="I14">
        <v>322</v>
      </c>
    </row>
    <row r="15" spans="1:9" x14ac:dyDescent="0.35">
      <c r="A15" t="s">
        <v>34</v>
      </c>
      <c r="B15" t="s">
        <v>15</v>
      </c>
      <c r="C15" t="s">
        <v>11</v>
      </c>
      <c r="D15" t="s">
        <v>20</v>
      </c>
      <c r="E15" t="s">
        <v>13</v>
      </c>
      <c r="F15">
        <v>93</v>
      </c>
      <c r="G15">
        <v>159402</v>
      </c>
      <c r="H15">
        <v>133183</v>
      </c>
      <c r="I15">
        <v>268</v>
      </c>
    </row>
    <row r="16" spans="1:9" x14ac:dyDescent="0.35">
      <c r="A16" t="s">
        <v>35</v>
      </c>
      <c r="B16" t="s">
        <v>22</v>
      </c>
      <c r="C16" t="s">
        <v>11</v>
      </c>
      <c r="D16" t="s">
        <v>12</v>
      </c>
      <c r="E16" t="s">
        <v>13</v>
      </c>
      <c r="F16">
        <v>192</v>
      </c>
      <c r="G16">
        <v>401856</v>
      </c>
      <c r="H16">
        <v>313522</v>
      </c>
      <c r="I16">
        <v>717</v>
      </c>
    </row>
    <row r="17" spans="1:9" x14ac:dyDescent="0.35">
      <c r="A17" t="s">
        <v>36</v>
      </c>
      <c r="B17" t="s">
        <v>15</v>
      </c>
      <c r="C17" t="s">
        <v>11</v>
      </c>
      <c r="D17" t="s">
        <v>20</v>
      </c>
      <c r="E17" t="s">
        <v>13</v>
      </c>
      <c r="F17">
        <v>109</v>
      </c>
      <c r="G17">
        <v>267704</v>
      </c>
      <c r="H17">
        <v>223448</v>
      </c>
      <c r="I17">
        <v>680</v>
      </c>
    </row>
    <row r="18" spans="1:9" x14ac:dyDescent="0.35">
      <c r="A18" t="s">
        <v>37</v>
      </c>
      <c r="B18" t="s">
        <v>22</v>
      </c>
      <c r="C18" t="s">
        <v>11</v>
      </c>
      <c r="D18" t="s">
        <v>16</v>
      </c>
      <c r="E18" t="s">
        <v>30</v>
      </c>
      <c r="F18">
        <v>103</v>
      </c>
      <c r="G18">
        <v>234222</v>
      </c>
      <c r="H18">
        <v>190480</v>
      </c>
      <c r="I18">
        <v>365</v>
      </c>
    </row>
    <row r="19" spans="1:9" x14ac:dyDescent="0.35">
      <c r="A19" t="s">
        <v>38</v>
      </c>
      <c r="B19" t="s">
        <v>10</v>
      </c>
      <c r="C19" t="s">
        <v>11</v>
      </c>
      <c r="D19" t="s">
        <v>16</v>
      </c>
      <c r="E19" t="s">
        <v>30</v>
      </c>
      <c r="F19">
        <v>153</v>
      </c>
      <c r="G19">
        <v>290394</v>
      </c>
      <c r="H19">
        <v>218644</v>
      </c>
      <c r="I19">
        <v>387</v>
      </c>
    </row>
    <row r="20" spans="1:9" x14ac:dyDescent="0.35">
      <c r="A20" t="s">
        <v>39</v>
      </c>
      <c r="B20" t="s">
        <v>10</v>
      </c>
      <c r="C20" t="s">
        <v>11</v>
      </c>
      <c r="D20" t="s">
        <v>12</v>
      </c>
      <c r="E20" t="s">
        <v>13</v>
      </c>
      <c r="F20">
        <v>96</v>
      </c>
      <c r="G20">
        <v>181728</v>
      </c>
      <c r="H20">
        <v>117813</v>
      </c>
      <c r="I20">
        <v>529</v>
      </c>
    </row>
    <row r="21" spans="1:9" x14ac:dyDescent="0.35">
      <c r="A21" t="s">
        <v>40</v>
      </c>
      <c r="B21" t="s">
        <v>10</v>
      </c>
      <c r="C21" t="s">
        <v>11</v>
      </c>
      <c r="D21" t="s">
        <v>12</v>
      </c>
      <c r="E21" t="s">
        <v>30</v>
      </c>
      <c r="F21">
        <v>91</v>
      </c>
      <c r="G21">
        <v>179998</v>
      </c>
      <c r="H21">
        <v>140264</v>
      </c>
      <c r="I21">
        <v>925</v>
      </c>
    </row>
    <row r="22" spans="1:9" x14ac:dyDescent="0.35">
      <c r="A22" t="s">
        <v>21</v>
      </c>
      <c r="B22" t="s">
        <v>10</v>
      </c>
      <c r="C22" t="s">
        <v>11</v>
      </c>
      <c r="D22" t="s">
        <v>12</v>
      </c>
      <c r="E22" t="s">
        <v>30</v>
      </c>
      <c r="F22">
        <v>128</v>
      </c>
      <c r="G22">
        <v>305536</v>
      </c>
      <c r="H22">
        <v>220171</v>
      </c>
      <c r="I22">
        <v>681</v>
      </c>
    </row>
    <row r="23" spans="1:9" x14ac:dyDescent="0.35">
      <c r="A23" t="s">
        <v>32</v>
      </c>
      <c r="B23" t="s">
        <v>24</v>
      </c>
      <c r="C23" t="s">
        <v>11</v>
      </c>
      <c r="D23" t="s">
        <v>16</v>
      </c>
      <c r="E23" t="s">
        <v>30</v>
      </c>
      <c r="F23">
        <v>59</v>
      </c>
      <c r="G23">
        <v>126673</v>
      </c>
      <c r="H23">
        <v>89839</v>
      </c>
      <c r="I23">
        <v>649</v>
      </c>
    </row>
    <row r="24" spans="1:9" x14ac:dyDescent="0.35">
      <c r="A24" t="s">
        <v>41</v>
      </c>
      <c r="B24" t="s">
        <v>42</v>
      </c>
      <c r="C24" t="s">
        <v>11</v>
      </c>
      <c r="D24" t="s">
        <v>20</v>
      </c>
      <c r="E24" t="s">
        <v>17</v>
      </c>
      <c r="F24">
        <v>52</v>
      </c>
      <c r="G24">
        <v>101504</v>
      </c>
      <c r="H24">
        <v>69187</v>
      </c>
      <c r="I24">
        <v>709</v>
      </c>
    </row>
    <row r="25" spans="1:9" x14ac:dyDescent="0.35">
      <c r="A25" t="s">
        <v>43</v>
      </c>
      <c r="B25" t="s">
        <v>42</v>
      </c>
      <c r="C25" t="s">
        <v>11</v>
      </c>
      <c r="D25" t="s">
        <v>29</v>
      </c>
      <c r="E25" t="s">
        <v>30</v>
      </c>
      <c r="F25">
        <v>91</v>
      </c>
      <c r="G25">
        <v>159705</v>
      </c>
      <c r="H25">
        <v>117382</v>
      </c>
      <c r="I25">
        <v>674</v>
      </c>
    </row>
    <row r="26" spans="1:9" x14ac:dyDescent="0.35">
      <c r="A26" t="s">
        <v>33</v>
      </c>
      <c r="B26" t="s">
        <v>22</v>
      </c>
      <c r="C26" t="s">
        <v>11</v>
      </c>
      <c r="D26" t="s">
        <v>20</v>
      </c>
      <c r="E26" t="s">
        <v>30</v>
      </c>
      <c r="F26">
        <v>125</v>
      </c>
      <c r="G26">
        <v>213875</v>
      </c>
      <c r="H26">
        <v>166122</v>
      </c>
      <c r="I26">
        <v>437</v>
      </c>
    </row>
    <row r="27" spans="1:9" x14ac:dyDescent="0.35">
      <c r="A27" t="s">
        <v>44</v>
      </c>
      <c r="B27" t="s">
        <v>19</v>
      </c>
      <c r="C27" t="s">
        <v>11</v>
      </c>
      <c r="D27" t="s">
        <v>20</v>
      </c>
      <c r="E27" t="s">
        <v>13</v>
      </c>
      <c r="F27">
        <v>119</v>
      </c>
      <c r="G27">
        <v>290122</v>
      </c>
      <c r="H27">
        <v>182198</v>
      </c>
      <c r="I27">
        <v>532</v>
      </c>
    </row>
    <row r="28" spans="1:9" x14ac:dyDescent="0.35">
      <c r="A28" t="s">
        <v>14</v>
      </c>
      <c r="B28" t="s">
        <v>19</v>
      </c>
      <c r="C28" t="s">
        <v>11</v>
      </c>
      <c r="D28" t="s">
        <v>20</v>
      </c>
      <c r="E28" t="s">
        <v>30</v>
      </c>
      <c r="F28">
        <v>131</v>
      </c>
      <c r="G28">
        <v>278637</v>
      </c>
      <c r="H28">
        <v>188504</v>
      </c>
      <c r="I28">
        <v>461</v>
      </c>
    </row>
    <row r="29" spans="1:9" x14ac:dyDescent="0.35">
      <c r="A29" t="s">
        <v>45</v>
      </c>
      <c r="B29" t="s">
        <v>19</v>
      </c>
      <c r="C29" t="s">
        <v>11</v>
      </c>
      <c r="D29" t="s">
        <v>12</v>
      </c>
      <c r="E29" t="s">
        <v>17</v>
      </c>
      <c r="F29">
        <v>157</v>
      </c>
      <c r="G29">
        <v>239111</v>
      </c>
      <c r="H29">
        <v>176497</v>
      </c>
      <c r="I29">
        <v>889</v>
      </c>
    </row>
    <row r="30" spans="1:9" x14ac:dyDescent="0.35">
      <c r="A30" t="s">
        <v>45</v>
      </c>
      <c r="B30" t="s">
        <v>42</v>
      </c>
      <c r="C30" t="s">
        <v>11</v>
      </c>
      <c r="D30" t="s">
        <v>29</v>
      </c>
      <c r="E30" t="s">
        <v>30</v>
      </c>
      <c r="F30">
        <v>108</v>
      </c>
      <c r="G30">
        <v>241272</v>
      </c>
      <c r="H30">
        <v>186214</v>
      </c>
      <c r="I30">
        <v>978</v>
      </c>
    </row>
    <row r="31" spans="1:9" x14ac:dyDescent="0.35">
      <c r="A31" t="s">
        <v>46</v>
      </c>
      <c r="B31" t="s">
        <v>10</v>
      </c>
      <c r="C31" t="s">
        <v>11</v>
      </c>
      <c r="D31" t="s">
        <v>12</v>
      </c>
      <c r="E31" t="s">
        <v>17</v>
      </c>
      <c r="F31">
        <v>128</v>
      </c>
      <c r="G31">
        <v>316544</v>
      </c>
      <c r="H31">
        <v>191433</v>
      </c>
      <c r="I31">
        <v>789</v>
      </c>
    </row>
    <row r="32" spans="1:9" x14ac:dyDescent="0.35">
      <c r="A32" t="s">
        <v>47</v>
      </c>
      <c r="B32" t="s">
        <v>24</v>
      </c>
      <c r="C32" t="s">
        <v>11</v>
      </c>
      <c r="D32" t="s">
        <v>29</v>
      </c>
      <c r="E32" t="s">
        <v>30</v>
      </c>
      <c r="F32">
        <v>123</v>
      </c>
      <c r="G32">
        <v>204795</v>
      </c>
      <c r="H32">
        <v>134152</v>
      </c>
      <c r="I32">
        <v>385</v>
      </c>
    </row>
    <row r="33" spans="1:9" x14ac:dyDescent="0.35">
      <c r="A33" t="s">
        <v>32</v>
      </c>
      <c r="B33" t="s">
        <v>10</v>
      </c>
      <c r="C33" t="s">
        <v>11</v>
      </c>
      <c r="D33" t="s">
        <v>12</v>
      </c>
      <c r="E33" t="s">
        <v>30</v>
      </c>
      <c r="F33">
        <v>123</v>
      </c>
      <c r="G33">
        <v>216849</v>
      </c>
      <c r="H33">
        <v>166174</v>
      </c>
      <c r="I33">
        <v>510</v>
      </c>
    </row>
    <row r="34" spans="1:9" x14ac:dyDescent="0.35">
      <c r="A34" t="s">
        <v>23</v>
      </c>
      <c r="B34" t="s">
        <v>24</v>
      </c>
      <c r="C34" t="s">
        <v>11</v>
      </c>
      <c r="D34" t="s">
        <v>20</v>
      </c>
      <c r="E34" t="s">
        <v>30</v>
      </c>
      <c r="F34">
        <v>82</v>
      </c>
      <c r="G34">
        <v>189256</v>
      </c>
      <c r="H34">
        <v>155041</v>
      </c>
      <c r="I34">
        <v>848</v>
      </c>
    </row>
    <row r="35" spans="1:9" x14ac:dyDescent="0.35">
      <c r="A35" t="s">
        <v>31</v>
      </c>
      <c r="B35" t="s">
        <v>42</v>
      </c>
      <c r="C35" t="s">
        <v>11</v>
      </c>
      <c r="D35" t="s">
        <v>16</v>
      </c>
      <c r="E35" t="s">
        <v>30</v>
      </c>
      <c r="F35">
        <v>117</v>
      </c>
      <c r="G35">
        <v>203814</v>
      </c>
      <c r="H35">
        <v>155005</v>
      </c>
      <c r="I35">
        <v>877</v>
      </c>
    </row>
    <row r="36" spans="1:9" x14ac:dyDescent="0.35">
      <c r="A36" t="s">
        <v>35</v>
      </c>
      <c r="B36" t="s">
        <v>15</v>
      </c>
      <c r="C36" t="s">
        <v>11</v>
      </c>
      <c r="D36" t="s">
        <v>29</v>
      </c>
      <c r="E36" t="s">
        <v>17</v>
      </c>
      <c r="F36">
        <v>163</v>
      </c>
      <c r="G36">
        <v>295356</v>
      </c>
      <c r="H36">
        <v>203656</v>
      </c>
      <c r="I36">
        <v>336</v>
      </c>
    </row>
    <row r="37" spans="1:9" x14ac:dyDescent="0.35">
      <c r="A37" t="s">
        <v>48</v>
      </c>
      <c r="B37" t="s">
        <v>22</v>
      </c>
      <c r="C37" t="s">
        <v>11</v>
      </c>
      <c r="D37" t="s">
        <v>12</v>
      </c>
      <c r="E37" t="s">
        <v>17</v>
      </c>
      <c r="F37">
        <v>159</v>
      </c>
      <c r="G37">
        <v>256944</v>
      </c>
      <c r="H37">
        <v>208079</v>
      </c>
      <c r="I37">
        <v>340</v>
      </c>
    </row>
    <row r="38" spans="1:9" x14ac:dyDescent="0.35">
      <c r="A38" t="s">
        <v>49</v>
      </c>
      <c r="B38" t="s">
        <v>15</v>
      </c>
      <c r="C38" t="s">
        <v>11</v>
      </c>
      <c r="D38" t="s">
        <v>29</v>
      </c>
      <c r="E38" t="s">
        <v>30</v>
      </c>
      <c r="F38">
        <v>84</v>
      </c>
      <c r="G38">
        <v>131124</v>
      </c>
      <c r="H38">
        <v>89867</v>
      </c>
      <c r="I38">
        <v>364</v>
      </c>
    </row>
    <row r="39" spans="1:9" x14ac:dyDescent="0.35">
      <c r="A39" t="s">
        <v>50</v>
      </c>
      <c r="B39" t="s">
        <v>19</v>
      </c>
      <c r="C39" t="s">
        <v>11</v>
      </c>
      <c r="D39" t="s">
        <v>16</v>
      </c>
      <c r="E39" t="s">
        <v>17</v>
      </c>
      <c r="F39">
        <v>51</v>
      </c>
      <c r="G39">
        <v>107610</v>
      </c>
      <c r="H39">
        <v>81029</v>
      </c>
      <c r="I39">
        <v>203</v>
      </c>
    </row>
    <row r="40" spans="1:9" x14ac:dyDescent="0.35">
      <c r="A40" t="s">
        <v>44</v>
      </c>
      <c r="B40" t="s">
        <v>42</v>
      </c>
      <c r="C40" t="s">
        <v>11</v>
      </c>
      <c r="D40" t="s">
        <v>20</v>
      </c>
      <c r="E40" t="s">
        <v>30</v>
      </c>
      <c r="F40">
        <v>159</v>
      </c>
      <c r="G40">
        <v>295899</v>
      </c>
      <c r="H40">
        <v>242751</v>
      </c>
      <c r="I40">
        <v>740</v>
      </c>
    </row>
    <row r="41" spans="1:9" x14ac:dyDescent="0.35">
      <c r="A41" t="s">
        <v>51</v>
      </c>
      <c r="B41" t="s">
        <v>15</v>
      </c>
      <c r="C41" t="s">
        <v>11</v>
      </c>
      <c r="D41" t="s">
        <v>16</v>
      </c>
      <c r="E41" t="s">
        <v>17</v>
      </c>
      <c r="F41">
        <v>124</v>
      </c>
      <c r="G41">
        <v>191084</v>
      </c>
      <c r="H41">
        <v>133920</v>
      </c>
      <c r="I41">
        <v>686</v>
      </c>
    </row>
    <row r="42" spans="1:9" x14ac:dyDescent="0.35">
      <c r="A42" t="s">
        <v>52</v>
      </c>
      <c r="B42" t="s">
        <v>19</v>
      </c>
      <c r="C42" t="s">
        <v>11</v>
      </c>
      <c r="D42" t="s">
        <v>16</v>
      </c>
      <c r="E42" t="s">
        <v>30</v>
      </c>
      <c r="F42">
        <v>169</v>
      </c>
      <c r="G42">
        <v>372983</v>
      </c>
      <c r="H42">
        <v>313216</v>
      </c>
      <c r="I42">
        <v>691</v>
      </c>
    </row>
    <row r="43" spans="1:9" x14ac:dyDescent="0.35">
      <c r="A43" t="s">
        <v>53</v>
      </c>
      <c r="B43" t="s">
        <v>22</v>
      </c>
      <c r="C43" t="s">
        <v>11</v>
      </c>
      <c r="D43" t="s">
        <v>29</v>
      </c>
      <c r="E43" t="s">
        <v>30</v>
      </c>
      <c r="F43">
        <v>59</v>
      </c>
      <c r="G43">
        <v>107380</v>
      </c>
      <c r="H43">
        <v>84969</v>
      </c>
      <c r="I43">
        <v>557</v>
      </c>
    </row>
    <row r="44" spans="1:9" x14ac:dyDescent="0.35">
      <c r="A44" t="s">
        <v>54</v>
      </c>
      <c r="B44" t="s">
        <v>24</v>
      </c>
      <c r="C44" t="s">
        <v>11</v>
      </c>
      <c r="D44" t="s">
        <v>12</v>
      </c>
      <c r="E44" t="s">
        <v>30</v>
      </c>
      <c r="F44">
        <v>129</v>
      </c>
      <c r="G44">
        <v>255678</v>
      </c>
      <c r="H44">
        <v>184011</v>
      </c>
      <c r="I44">
        <v>514</v>
      </c>
    </row>
    <row r="45" spans="1:9" x14ac:dyDescent="0.35">
      <c r="A45" t="s">
        <v>55</v>
      </c>
      <c r="B45" t="s">
        <v>19</v>
      </c>
      <c r="C45" t="s">
        <v>11</v>
      </c>
      <c r="D45" t="s">
        <v>12</v>
      </c>
      <c r="E45" t="s">
        <v>13</v>
      </c>
      <c r="F45">
        <v>137</v>
      </c>
      <c r="G45">
        <v>299893</v>
      </c>
      <c r="H45">
        <v>206309</v>
      </c>
      <c r="I45">
        <v>846</v>
      </c>
    </row>
    <row r="46" spans="1:9" x14ac:dyDescent="0.35">
      <c r="A46" t="s">
        <v>45</v>
      </c>
      <c r="B46" t="s">
        <v>10</v>
      </c>
      <c r="C46" t="s">
        <v>11</v>
      </c>
      <c r="D46" t="s">
        <v>16</v>
      </c>
      <c r="E46" t="s">
        <v>17</v>
      </c>
      <c r="F46">
        <v>176</v>
      </c>
      <c r="G46">
        <v>292512</v>
      </c>
      <c r="H46">
        <v>194381</v>
      </c>
      <c r="I46">
        <v>620</v>
      </c>
    </row>
    <row r="47" spans="1:9" x14ac:dyDescent="0.35">
      <c r="A47" t="s">
        <v>52</v>
      </c>
      <c r="B47" t="s">
        <v>15</v>
      </c>
      <c r="C47" t="s">
        <v>11</v>
      </c>
      <c r="D47" t="s">
        <v>20</v>
      </c>
      <c r="E47" t="s">
        <v>13</v>
      </c>
      <c r="F47">
        <v>99</v>
      </c>
      <c r="G47">
        <v>177210</v>
      </c>
      <c r="H47">
        <v>125198</v>
      </c>
      <c r="I47">
        <v>854</v>
      </c>
    </row>
    <row r="48" spans="1:9" x14ac:dyDescent="0.35">
      <c r="A48" t="s">
        <v>45</v>
      </c>
      <c r="B48" t="s">
        <v>42</v>
      </c>
      <c r="C48" t="s">
        <v>11</v>
      </c>
      <c r="D48" t="s">
        <v>20</v>
      </c>
      <c r="E48" t="s">
        <v>13</v>
      </c>
      <c r="F48">
        <v>59</v>
      </c>
      <c r="G48">
        <v>119534</v>
      </c>
      <c r="H48">
        <v>96265</v>
      </c>
      <c r="I48">
        <v>355</v>
      </c>
    </row>
    <row r="49" spans="1:9" x14ac:dyDescent="0.35">
      <c r="A49" t="s">
        <v>39</v>
      </c>
      <c r="B49" t="s">
        <v>22</v>
      </c>
      <c r="C49" t="s">
        <v>11</v>
      </c>
      <c r="D49" t="s">
        <v>16</v>
      </c>
      <c r="E49" t="s">
        <v>30</v>
      </c>
      <c r="F49">
        <v>157</v>
      </c>
      <c r="G49">
        <v>264859</v>
      </c>
      <c r="H49">
        <v>172778</v>
      </c>
      <c r="I49">
        <v>468</v>
      </c>
    </row>
    <row r="50" spans="1:9" x14ac:dyDescent="0.35">
      <c r="A50" t="s">
        <v>35</v>
      </c>
      <c r="B50" t="s">
        <v>10</v>
      </c>
      <c r="C50" t="s">
        <v>11</v>
      </c>
      <c r="D50" t="s">
        <v>12</v>
      </c>
      <c r="E50" t="s">
        <v>30</v>
      </c>
      <c r="F50">
        <v>159</v>
      </c>
      <c r="G50">
        <v>288585</v>
      </c>
      <c r="H50">
        <v>201480</v>
      </c>
      <c r="I50">
        <v>782</v>
      </c>
    </row>
    <row r="51" spans="1:9" x14ac:dyDescent="0.35">
      <c r="A51" t="s">
        <v>45</v>
      </c>
      <c r="B51" t="s">
        <v>10</v>
      </c>
      <c r="C51" t="s">
        <v>11</v>
      </c>
      <c r="D51" t="s">
        <v>16</v>
      </c>
      <c r="E51" t="s">
        <v>30</v>
      </c>
      <c r="F51">
        <v>177</v>
      </c>
      <c r="G51">
        <v>341610</v>
      </c>
      <c r="H51">
        <v>225415</v>
      </c>
      <c r="I51">
        <v>599</v>
      </c>
    </row>
    <row r="52" spans="1:9" x14ac:dyDescent="0.35">
      <c r="A52" t="s">
        <v>26</v>
      </c>
      <c r="B52" t="s">
        <v>19</v>
      </c>
      <c r="C52" t="s">
        <v>11</v>
      </c>
      <c r="D52" t="s">
        <v>12</v>
      </c>
      <c r="E52" t="s">
        <v>17</v>
      </c>
      <c r="F52">
        <v>106</v>
      </c>
      <c r="G52">
        <v>170872</v>
      </c>
      <c r="H52">
        <v>131952</v>
      </c>
      <c r="I52">
        <v>971</v>
      </c>
    </row>
    <row r="53" spans="1:9" x14ac:dyDescent="0.35">
      <c r="A53" t="s">
        <v>55</v>
      </c>
      <c r="B53" t="s">
        <v>19</v>
      </c>
      <c r="C53" t="s">
        <v>11</v>
      </c>
      <c r="D53" t="s">
        <v>12</v>
      </c>
      <c r="E53" t="s">
        <v>30</v>
      </c>
      <c r="F53">
        <v>111</v>
      </c>
      <c r="G53">
        <v>234543</v>
      </c>
      <c r="H53">
        <v>164906</v>
      </c>
      <c r="I53">
        <v>662</v>
      </c>
    </row>
    <row r="54" spans="1:9" x14ac:dyDescent="0.35">
      <c r="A54" t="s">
        <v>44</v>
      </c>
      <c r="B54" t="s">
        <v>42</v>
      </c>
      <c r="C54" t="s">
        <v>11</v>
      </c>
      <c r="D54" t="s">
        <v>20</v>
      </c>
      <c r="E54" t="s">
        <v>13</v>
      </c>
      <c r="F54">
        <v>110</v>
      </c>
      <c r="G54">
        <v>271480</v>
      </c>
      <c r="H54">
        <v>198010</v>
      </c>
      <c r="I54">
        <v>915</v>
      </c>
    </row>
    <row r="55" spans="1:9" x14ac:dyDescent="0.35">
      <c r="A55" t="s">
        <v>25</v>
      </c>
      <c r="B55" t="s">
        <v>24</v>
      </c>
      <c r="C55" t="s">
        <v>11</v>
      </c>
      <c r="D55" t="s">
        <v>29</v>
      </c>
      <c r="E55" t="s">
        <v>17</v>
      </c>
      <c r="F55">
        <v>135</v>
      </c>
      <c r="G55">
        <v>290925</v>
      </c>
      <c r="H55">
        <v>187560</v>
      </c>
      <c r="I55">
        <v>850</v>
      </c>
    </row>
    <row r="56" spans="1:9" x14ac:dyDescent="0.35">
      <c r="A56" t="s">
        <v>48</v>
      </c>
      <c r="B56" t="s">
        <v>22</v>
      </c>
      <c r="C56" t="s">
        <v>11</v>
      </c>
      <c r="D56" t="s">
        <v>12</v>
      </c>
      <c r="E56" t="s">
        <v>30</v>
      </c>
      <c r="F56">
        <v>66</v>
      </c>
      <c r="G56">
        <v>108372</v>
      </c>
      <c r="H56">
        <v>72617</v>
      </c>
      <c r="I56">
        <v>255</v>
      </c>
    </row>
    <row r="57" spans="1:9" x14ac:dyDescent="0.35">
      <c r="A57" t="s">
        <v>56</v>
      </c>
      <c r="B57" t="s">
        <v>22</v>
      </c>
      <c r="C57" t="s">
        <v>11</v>
      </c>
      <c r="D57" t="s">
        <v>16</v>
      </c>
      <c r="E57" t="s">
        <v>30</v>
      </c>
      <c r="F57">
        <v>62</v>
      </c>
      <c r="G57">
        <v>144894</v>
      </c>
      <c r="H57">
        <v>98504</v>
      </c>
      <c r="I57">
        <v>997</v>
      </c>
    </row>
    <row r="58" spans="1:9" x14ac:dyDescent="0.35">
      <c r="A58" t="s">
        <v>55</v>
      </c>
      <c r="B58" t="s">
        <v>15</v>
      </c>
      <c r="C58" t="s">
        <v>11</v>
      </c>
      <c r="D58" t="s">
        <v>20</v>
      </c>
      <c r="E58" t="s">
        <v>17</v>
      </c>
      <c r="F58">
        <v>65</v>
      </c>
      <c r="G58">
        <v>133380</v>
      </c>
      <c r="H58">
        <v>105518</v>
      </c>
      <c r="I58">
        <v>591</v>
      </c>
    </row>
    <row r="59" spans="1:9" x14ac:dyDescent="0.35">
      <c r="A59" t="s">
        <v>57</v>
      </c>
      <c r="B59" t="s">
        <v>19</v>
      </c>
      <c r="C59" t="s">
        <v>11</v>
      </c>
      <c r="D59" t="s">
        <v>16</v>
      </c>
      <c r="E59" t="s">
        <v>17</v>
      </c>
      <c r="F59">
        <v>130</v>
      </c>
      <c r="G59">
        <v>301210</v>
      </c>
      <c r="H59">
        <v>252741</v>
      </c>
      <c r="I59">
        <v>355</v>
      </c>
    </row>
    <row r="60" spans="1:9" x14ac:dyDescent="0.35">
      <c r="A60" t="s">
        <v>58</v>
      </c>
      <c r="B60" t="s">
        <v>19</v>
      </c>
      <c r="C60" t="s">
        <v>11</v>
      </c>
      <c r="D60" t="s">
        <v>12</v>
      </c>
      <c r="E60" t="s">
        <v>30</v>
      </c>
      <c r="F60">
        <v>182</v>
      </c>
      <c r="G60">
        <v>424424</v>
      </c>
      <c r="H60">
        <v>357097</v>
      </c>
      <c r="I60">
        <v>604</v>
      </c>
    </row>
    <row r="61" spans="1:9" x14ac:dyDescent="0.35">
      <c r="A61" t="s">
        <v>50</v>
      </c>
      <c r="B61" t="s">
        <v>22</v>
      </c>
      <c r="C61" t="s">
        <v>11</v>
      </c>
      <c r="D61" t="s">
        <v>20</v>
      </c>
      <c r="E61" t="s">
        <v>13</v>
      </c>
      <c r="F61">
        <v>183</v>
      </c>
      <c r="G61">
        <v>290970</v>
      </c>
      <c r="H61">
        <v>203505</v>
      </c>
      <c r="I61">
        <v>474</v>
      </c>
    </row>
    <row r="62" spans="1:9" x14ac:dyDescent="0.35">
      <c r="A62" t="s">
        <v>59</v>
      </c>
      <c r="B62" t="s">
        <v>42</v>
      </c>
      <c r="C62" t="s">
        <v>11</v>
      </c>
      <c r="D62" t="s">
        <v>20</v>
      </c>
      <c r="E62" t="s">
        <v>13</v>
      </c>
      <c r="F62">
        <v>189</v>
      </c>
      <c r="G62">
        <v>471933</v>
      </c>
      <c r="H62">
        <v>301220</v>
      </c>
      <c r="I62">
        <v>372</v>
      </c>
    </row>
    <row r="63" spans="1:9" x14ac:dyDescent="0.35">
      <c r="A63" t="s">
        <v>60</v>
      </c>
      <c r="B63" t="s">
        <v>19</v>
      </c>
      <c r="C63" t="s">
        <v>11</v>
      </c>
      <c r="D63" t="s">
        <v>16</v>
      </c>
      <c r="E63" t="s">
        <v>30</v>
      </c>
      <c r="F63">
        <v>85</v>
      </c>
      <c r="G63">
        <v>128350</v>
      </c>
      <c r="H63">
        <v>79975</v>
      </c>
      <c r="I63">
        <v>864</v>
      </c>
    </row>
    <row r="64" spans="1:9" x14ac:dyDescent="0.35">
      <c r="A64" t="s">
        <v>54</v>
      </c>
      <c r="B64" t="s">
        <v>42</v>
      </c>
      <c r="C64" t="s">
        <v>11</v>
      </c>
      <c r="D64" t="s">
        <v>16</v>
      </c>
      <c r="E64" t="s">
        <v>30</v>
      </c>
      <c r="F64">
        <v>150</v>
      </c>
      <c r="G64">
        <v>270900</v>
      </c>
      <c r="H64">
        <v>170216</v>
      </c>
      <c r="I64">
        <v>364</v>
      </c>
    </row>
    <row r="65" spans="1:9" x14ac:dyDescent="0.35">
      <c r="A65" t="s">
        <v>61</v>
      </c>
      <c r="B65" t="s">
        <v>24</v>
      </c>
      <c r="C65" t="s">
        <v>11</v>
      </c>
      <c r="D65" t="s">
        <v>29</v>
      </c>
      <c r="E65" t="s">
        <v>30</v>
      </c>
      <c r="F65">
        <v>64</v>
      </c>
      <c r="G65">
        <v>147264</v>
      </c>
      <c r="H65">
        <v>118579</v>
      </c>
      <c r="I65">
        <v>762</v>
      </c>
    </row>
    <row r="66" spans="1:9" x14ac:dyDescent="0.35">
      <c r="A66" t="s">
        <v>18</v>
      </c>
      <c r="B66" t="s">
        <v>24</v>
      </c>
      <c r="C66" t="s">
        <v>11</v>
      </c>
      <c r="D66" t="s">
        <v>29</v>
      </c>
      <c r="E66" t="s">
        <v>17</v>
      </c>
      <c r="F66">
        <v>52</v>
      </c>
      <c r="G66">
        <v>115492</v>
      </c>
      <c r="H66">
        <v>79040</v>
      </c>
      <c r="I66">
        <v>714</v>
      </c>
    </row>
    <row r="67" spans="1:9" x14ac:dyDescent="0.35">
      <c r="A67" t="s">
        <v>26</v>
      </c>
      <c r="B67" t="s">
        <v>15</v>
      </c>
      <c r="C67" t="s">
        <v>11</v>
      </c>
      <c r="D67" t="s">
        <v>29</v>
      </c>
      <c r="E67" t="s">
        <v>17</v>
      </c>
      <c r="F67">
        <v>85</v>
      </c>
      <c r="G67">
        <v>202045</v>
      </c>
      <c r="H67">
        <v>153546</v>
      </c>
      <c r="I67">
        <v>549</v>
      </c>
    </row>
    <row r="68" spans="1:9" x14ac:dyDescent="0.35">
      <c r="A68" t="s">
        <v>33</v>
      </c>
      <c r="B68" t="s">
        <v>24</v>
      </c>
      <c r="C68" t="s">
        <v>11</v>
      </c>
      <c r="D68" t="s">
        <v>16</v>
      </c>
      <c r="E68" t="s">
        <v>17</v>
      </c>
      <c r="F68">
        <v>59</v>
      </c>
      <c r="G68">
        <v>108560</v>
      </c>
      <c r="H68">
        <v>80664</v>
      </c>
      <c r="I68">
        <v>560</v>
      </c>
    </row>
    <row r="69" spans="1:9" x14ac:dyDescent="0.35">
      <c r="A69" t="s">
        <v>45</v>
      </c>
      <c r="B69" t="s">
        <v>24</v>
      </c>
      <c r="C69" t="s">
        <v>11</v>
      </c>
      <c r="D69" t="s">
        <v>12</v>
      </c>
      <c r="E69" t="s">
        <v>13</v>
      </c>
      <c r="F69">
        <v>85</v>
      </c>
      <c r="G69">
        <v>199410</v>
      </c>
      <c r="H69">
        <v>122075</v>
      </c>
      <c r="I69">
        <v>396</v>
      </c>
    </row>
    <row r="70" spans="1:9" x14ac:dyDescent="0.35">
      <c r="A70" t="s">
        <v>47</v>
      </c>
      <c r="B70" t="s">
        <v>22</v>
      </c>
      <c r="C70" t="s">
        <v>11</v>
      </c>
      <c r="D70" t="s">
        <v>16</v>
      </c>
      <c r="E70" t="s">
        <v>17</v>
      </c>
      <c r="F70">
        <v>101</v>
      </c>
      <c r="G70">
        <v>187557</v>
      </c>
      <c r="H70">
        <v>121126</v>
      </c>
      <c r="I70">
        <v>370</v>
      </c>
    </row>
    <row r="71" spans="1:9" x14ac:dyDescent="0.35">
      <c r="A71" t="s">
        <v>62</v>
      </c>
      <c r="B71" t="s">
        <v>42</v>
      </c>
      <c r="C71" t="s">
        <v>11</v>
      </c>
      <c r="D71" t="s">
        <v>29</v>
      </c>
      <c r="E71" t="s">
        <v>17</v>
      </c>
      <c r="F71">
        <v>89</v>
      </c>
      <c r="G71">
        <v>148363</v>
      </c>
      <c r="H71">
        <v>117533</v>
      </c>
      <c r="I71">
        <v>319</v>
      </c>
    </row>
    <row r="72" spans="1:9" x14ac:dyDescent="0.35">
      <c r="A72" t="s">
        <v>63</v>
      </c>
      <c r="B72" t="s">
        <v>10</v>
      </c>
      <c r="C72" t="s">
        <v>11</v>
      </c>
      <c r="D72" t="s">
        <v>12</v>
      </c>
      <c r="E72" t="s">
        <v>17</v>
      </c>
      <c r="F72">
        <v>69</v>
      </c>
      <c r="G72">
        <v>172017</v>
      </c>
      <c r="H72">
        <v>121895</v>
      </c>
      <c r="I72">
        <v>335</v>
      </c>
    </row>
    <row r="73" spans="1:9" x14ac:dyDescent="0.35">
      <c r="A73" t="s">
        <v>64</v>
      </c>
      <c r="B73" t="s">
        <v>15</v>
      </c>
      <c r="C73" t="s">
        <v>11</v>
      </c>
      <c r="D73" t="s">
        <v>12</v>
      </c>
      <c r="E73" t="s">
        <v>17</v>
      </c>
      <c r="F73">
        <v>172</v>
      </c>
      <c r="G73">
        <v>279844</v>
      </c>
      <c r="H73">
        <v>223183</v>
      </c>
      <c r="I73">
        <v>809</v>
      </c>
    </row>
    <row r="74" spans="1:9" x14ac:dyDescent="0.35">
      <c r="A74" t="s">
        <v>65</v>
      </c>
      <c r="B74" t="s">
        <v>22</v>
      </c>
      <c r="C74" t="s">
        <v>11</v>
      </c>
      <c r="D74" t="s">
        <v>12</v>
      </c>
      <c r="E74" t="s">
        <v>17</v>
      </c>
      <c r="F74">
        <v>67</v>
      </c>
      <c r="G74">
        <v>139092</v>
      </c>
      <c r="H74">
        <v>116572</v>
      </c>
      <c r="I74">
        <v>967</v>
      </c>
    </row>
    <row r="75" spans="1:9" x14ac:dyDescent="0.35">
      <c r="A75" t="s">
        <v>44</v>
      </c>
      <c r="B75" t="s">
        <v>24</v>
      </c>
      <c r="C75" t="s">
        <v>11</v>
      </c>
      <c r="D75" t="s">
        <v>29</v>
      </c>
      <c r="E75" t="s">
        <v>17</v>
      </c>
      <c r="F75">
        <v>77</v>
      </c>
      <c r="G75">
        <v>163625</v>
      </c>
      <c r="H75">
        <v>101307</v>
      </c>
      <c r="I75">
        <v>219</v>
      </c>
    </row>
    <row r="76" spans="1:9" x14ac:dyDescent="0.35">
      <c r="A76" t="s">
        <v>66</v>
      </c>
      <c r="B76" t="s">
        <v>42</v>
      </c>
      <c r="C76" t="s">
        <v>11</v>
      </c>
      <c r="D76" t="s">
        <v>12</v>
      </c>
      <c r="E76" t="s">
        <v>13</v>
      </c>
      <c r="F76">
        <v>155</v>
      </c>
      <c r="G76">
        <v>307830</v>
      </c>
      <c r="H76">
        <v>209792</v>
      </c>
      <c r="I76">
        <v>700</v>
      </c>
    </row>
    <row r="77" spans="1:9" x14ac:dyDescent="0.35">
      <c r="A77" t="s">
        <v>50</v>
      </c>
      <c r="B77" t="s">
        <v>24</v>
      </c>
      <c r="C77" t="s">
        <v>11</v>
      </c>
      <c r="D77" t="s">
        <v>16</v>
      </c>
      <c r="E77" t="s">
        <v>30</v>
      </c>
      <c r="F77">
        <v>117</v>
      </c>
      <c r="G77">
        <v>240669</v>
      </c>
      <c r="H77">
        <v>149706</v>
      </c>
      <c r="I77">
        <v>420</v>
      </c>
    </row>
    <row r="78" spans="1:9" x14ac:dyDescent="0.35">
      <c r="A78" t="s">
        <v>48</v>
      </c>
      <c r="B78" t="s">
        <v>24</v>
      </c>
      <c r="C78" t="s">
        <v>11</v>
      </c>
      <c r="D78" t="s">
        <v>16</v>
      </c>
      <c r="E78" t="s">
        <v>17</v>
      </c>
      <c r="F78">
        <v>185</v>
      </c>
      <c r="G78">
        <v>301920</v>
      </c>
      <c r="H78">
        <v>239875</v>
      </c>
      <c r="I78">
        <v>529</v>
      </c>
    </row>
    <row r="79" spans="1:9" x14ac:dyDescent="0.35">
      <c r="A79" t="s">
        <v>49</v>
      </c>
      <c r="B79" t="s">
        <v>42</v>
      </c>
      <c r="C79" t="s">
        <v>11</v>
      </c>
      <c r="D79" t="s">
        <v>16</v>
      </c>
      <c r="E79" t="s">
        <v>17</v>
      </c>
      <c r="F79">
        <v>100</v>
      </c>
      <c r="G79">
        <v>174600</v>
      </c>
      <c r="H79">
        <v>119302</v>
      </c>
      <c r="I79">
        <v>215</v>
      </c>
    </row>
    <row r="80" spans="1:9" x14ac:dyDescent="0.35">
      <c r="A80" t="s">
        <v>67</v>
      </c>
      <c r="B80" t="s">
        <v>10</v>
      </c>
      <c r="C80" t="s">
        <v>11</v>
      </c>
      <c r="D80" t="s">
        <v>20</v>
      </c>
      <c r="E80" t="s">
        <v>13</v>
      </c>
      <c r="F80">
        <v>130</v>
      </c>
      <c r="G80">
        <v>205400</v>
      </c>
      <c r="H80">
        <v>143797</v>
      </c>
      <c r="I80">
        <v>580</v>
      </c>
    </row>
    <row r="81" spans="1:9" x14ac:dyDescent="0.35">
      <c r="A81" t="s">
        <v>18</v>
      </c>
      <c r="B81" t="s">
        <v>15</v>
      </c>
      <c r="C81" t="s">
        <v>11</v>
      </c>
      <c r="D81" t="s">
        <v>16</v>
      </c>
      <c r="E81" t="s">
        <v>17</v>
      </c>
      <c r="F81">
        <v>145</v>
      </c>
      <c r="G81">
        <v>345825</v>
      </c>
      <c r="H81">
        <v>275456</v>
      </c>
      <c r="I81">
        <v>541</v>
      </c>
    </row>
    <row r="82" spans="1:9" x14ac:dyDescent="0.35">
      <c r="A82" t="s">
        <v>61</v>
      </c>
      <c r="B82" t="s">
        <v>42</v>
      </c>
      <c r="C82" t="s">
        <v>11</v>
      </c>
      <c r="D82" t="s">
        <v>20</v>
      </c>
      <c r="E82" t="s">
        <v>30</v>
      </c>
      <c r="F82">
        <v>199</v>
      </c>
      <c r="G82">
        <v>395811</v>
      </c>
      <c r="H82">
        <v>318888</v>
      </c>
      <c r="I82">
        <v>446</v>
      </c>
    </row>
    <row r="83" spans="1:9" x14ac:dyDescent="0.35">
      <c r="A83" t="s">
        <v>68</v>
      </c>
      <c r="B83" t="s">
        <v>24</v>
      </c>
      <c r="C83" t="s">
        <v>11</v>
      </c>
      <c r="D83" t="s">
        <v>20</v>
      </c>
      <c r="E83" t="s">
        <v>17</v>
      </c>
      <c r="F83">
        <v>171</v>
      </c>
      <c r="G83">
        <v>368847</v>
      </c>
      <c r="H83">
        <v>246901</v>
      </c>
      <c r="I83">
        <v>623</v>
      </c>
    </row>
    <row r="84" spans="1:9" x14ac:dyDescent="0.35">
      <c r="A84" t="s">
        <v>55</v>
      </c>
      <c r="B84" t="s">
        <v>22</v>
      </c>
      <c r="C84" t="s">
        <v>11</v>
      </c>
      <c r="D84" t="s">
        <v>12</v>
      </c>
      <c r="E84" t="s">
        <v>13</v>
      </c>
      <c r="F84">
        <v>70</v>
      </c>
      <c r="G84">
        <v>144690</v>
      </c>
      <c r="H84">
        <v>118568</v>
      </c>
      <c r="I84">
        <v>261</v>
      </c>
    </row>
    <row r="85" spans="1:9" x14ac:dyDescent="0.35">
      <c r="A85" t="s">
        <v>50</v>
      </c>
      <c r="B85" t="s">
        <v>24</v>
      </c>
      <c r="C85" t="s">
        <v>11</v>
      </c>
      <c r="D85" t="s">
        <v>16</v>
      </c>
      <c r="E85" t="s">
        <v>17</v>
      </c>
      <c r="F85">
        <v>125</v>
      </c>
      <c r="G85">
        <v>211000</v>
      </c>
      <c r="H85">
        <v>165978</v>
      </c>
      <c r="I85">
        <v>950</v>
      </c>
    </row>
    <row r="86" spans="1:9" x14ac:dyDescent="0.35">
      <c r="A86" t="s">
        <v>53</v>
      </c>
      <c r="B86" t="s">
        <v>15</v>
      </c>
      <c r="C86" t="s">
        <v>11</v>
      </c>
      <c r="D86" t="s">
        <v>16</v>
      </c>
      <c r="E86" t="s">
        <v>13</v>
      </c>
      <c r="F86">
        <v>112</v>
      </c>
      <c r="G86">
        <v>248192</v>
      </c>
      <c r="H86">
        <v>176782</v>
      </c>
      <c r="I86">
        <v>581</v>
      </c>
    </row>
    <row r="87" spans="1:9" x14ac:dyDescent="0.35">
      <c r="A87" t="s">
        <v>40</v>
      </c>
      <c r="B87" t="s">
        <v>24</v>
      </c>
      <c r="C87" t="s">
        <v>11</v>
      </c>
      <c r="D87" t="s">
        <v>16</v>
      </c>
      <c r="E87" t="s">
        <v>13</v>
      </c>
      <c r="F87">
        <v>142</v>
      </c>
      <c r="G87">
        <v>330292</v>
      </c>
      <c r="H87">
        <v>238114</v>
      </c>
      <c r="I87">
        <v>500</v>
      </c>
    </row>
    <row r="88" spans="1:9" x14ac:dyDescent="0.35">
      <c r="A88" t="s">
        <v>50</v>
      </c>
      <c r="B88" t="s">
        <v>15</v>
      </c>
      <c r="C88" t="s">
        <v>11</v>
      </c>
      <c r="D88" t="s">
        <v>16</v>
      </c>
      <c r="E88" t="s">
        <v>30</v>
      </c>
      <c r="F88">
        <v>124</v>
      </c>
      <c r="G88">
        <v>259532</v>
      </c>
      <c r="H88">
        <v>188105</v>
      </c>
      <c r="I88">
        <v>899</v>
      </c>
    </row>
    <row r="89" spans="1:9" x14ac:dyDescent="0.35">
      <c r="A89" t="s">
        <v>48</v>
      </c>
      <c r="B89" t="s">
        <v>24</v>
      </c>
      <c r="C89" t="s">
        <v>11</v>
      </c>
      <c r="D89" t="s">
        <v>16</v>
      </c>
      <c r="E89" t="s">
        <v>17</v>
      </c>
      <c r="F89">
        <v>63</v>
      </c>
      <c r="G89">
        <v>132741</v>
      </c>
      <c r="H89">
        <v>92678</v>
      </c>
      <c r="I89">
        <v>387</v>
      </c>
    </row>
    <row r="90" spans="1:9" x14ac:dyDescent="0.35">
      <c r="A90" t="s">
        <v>69</v>
      </c>
      <c r="B90" t="s">
        <v>15</v>
      </c>
      <c r="C90" t="s">
        <v>11</v>
      </c>
      <c r="D90" t="s">
        <v>12</v>
      </c>
      <c r="E90" t="s">
        <v>13</v>
      </c>
      <c r="F90">
        <v>52</v>
      </c>
      <c r="G90">
        <v>129844</v>
      </c>
      <c r="H90">
        <v>90332</v>
      </c>
      <c r="I90">
        <v>882</v>
      </c>
    </row>
    <row r="91" spans="1:9" x14ac:dyDescent="0.35">
      <c r="A91" t="s">
        <v>33</v>
      </c>
      <c r="B91" t="s">
        <v>15</v>
      </c>
      <c r="C91" t="s">
        <v>11</v>
      </c>
      <c r="D91" t="s">
        <v>12</v>
      </c>
      <c r="E91" t="s">
        <v>30</v>
      </c>
      <c r="F91">
        <v>185</v>
      </c>
      <c r="G91">
        <v>406815</v>
      </c>
      <c r="H91">
        <v>272471</v>
      </c>
      <c r="I91">
        <v>253</v>
      </c>
    </row>
    <row r="92" spans="1:9" x14ac:dyDescent="0.35">
      <c r="A92" t="s">
        <v>52</v>
      </c>
      <c r="B92" t="s">
        <v>24</v>
      </c>
      <c r="C92" t="s">
        <v>11</v>
      </c>
      <c r="D92" t="s">
        <v>20</v>
      </c>
      <c r="E92" t="s">
        <v>17</v>
      </c>
      <c r="F92">
        <v>161</v>
      </c>
      <c r="G92">
        <v>329728</v>
      </c>
      <c r="H92">
        <v>252317</v>
      </c>
      <c r="I92">
        <v>372</v>
      </c>
    </row>
    <row r="93" spans="1:9" x14ac:dyDescent="0.35">
      <c r="A93" t="s">
        <v>43</v>
      </c>
      <c r="B93" t="s">
        <v>42</v>
      </c>
      <c r="C93" t="s">
        <v>11</v>
      </c>
      <c r="D93" t="s">
        <v>12</v>
      </c>
      <c r="E93" t="s">
        <v>30</v>
      </c>
      <c r="F93">
        <v>57</v>
      </c>
      <c r="G93">
        <v>109896</v>
      </c>
      <c r="H93">
        <v>75381</v>
      </c>
      <c r="I93">
        <v>224</v>
      </c>
    </row>
    <row r="94" spans="1:9" x14ac:dyDescent="0.35">
      <c r="A94" t="s">
        <v>65</v>
      </c>
      <c r="B94" t="s">
        <v>19</v>
      </c>
      <c r="C94" t="s">
        <v>11</v>
      </c>
      <c r="D94" t="s">
        <v>20</v>
      </c>
      <c r="E94" t="s">
        <v>13</v>
      </c>
      <c r="F94">
        <v>116</v>
      </c>
      <c r="G94">
        <v>215064</v>
      </c>
      <c r="H94">
        <v>170539</v>
      </c>
      <c r="I94">
        <v>947</v>
      </c>
    </row>
    <row r="95" spans="1:9" x14ac:dyDescent="0.35">
      <c r="A95" t="s">
        <v>70</v>
      </c>
      <c r="B95" t="s">
        <v>10</v>
      </c>
      <c r="C95" t="s">
        <v>11</v>
      </c>
      <c r="D95" t="s">
        <v>12</v>
      </c>
      <c r="E95" t="s">
        <v>13</v>
      </c>
      <c r="F95">
        <v>63</v>
      </c>
      <c r="G95">
        <v>124803</v>
      </c>
      <c r="H95">
        <v>81025</v>
      </c>
      <c r="I95">
        <v>313</v>
      </c>
    </row>
    <row r="96" spans="1:9" x14ac:dyDescent="0.35">
      <c r="A96" t="s">
        <v>50</v>
      </c>
      <c r="B96" t="s">
        <v>15</v>
      </c>
      <c r="C96" t="s">
        <v>11</v>
      </c>
      <c r="D96" t="s">
        <v>29</v>
      </c>
      <c r="E96" t="s">
        <v>13</v>
      </c>
      <c r="F96">
        <v>138</v>
      </c>
      <c r="G96">
        <v>224940</v>
      </c>
      <c r="H96">
        <v>182835</v>
      </c>
      <c r="I96">
        <v>373</v>
      </c>
    </row>
    <row r="97" spans="1:9" x14ac:dyDescent="0.35">
      <c r="A97" t="s">
        <v>49</v>
      </c>
      <c r="B97" t="s">
        <v>42</v>
      </c>
      <c r="C97" t="s">
        <v>11</v>
      </c>
      <c r="D97" t="s">
        <v>20</v>
      </c>
      <c r="E97" t="s">
        <v>13</v>
      </c>
      <c r="F97">
        <v>147</v>
      </c>
      <c r="G97">
        <v>364707</v>
      </c>
      <c r="H97">
        <v>224050</v>
      </c>
      <c r="I97">
        <v>621</v>
      </c>
    </row>
    <row r="98" spans="1:9" x14ac:dyDescent="0.35">
      <c r="A98" t="s">
        <v>50</v>
      </c>
      <c r="B98" t="s">
        <v>22</v>
      </c>
      <c r="C98" t="s">
        <v>11</v>
      </c>
      <c r="D98" t="s">
        <v>29</v>
      </c>
      <c r="E98" t="s">
        <v>13</v>
      </c>
      <c r="F98">
        <v>95</v>
      </c>
      <c r="G98">
        <v>221445</v>
      </c>
      <c r="H98">
        <v>178095</v>
      </c>
      <c r="I98">
        <v>249</v>
      </c>
    </row>
    <row r="99" spans="1:9" x14ac:dyDescent="0.35">
      <c r="A99" t="s">
        <v>71</v>
      </c>
      <c r="B99" t="s">
        <v>15</v>
      </c>
      <c r="C99" t="s">
        <v>11</v>
      </c>
      <c r="D99" t="s">
        <v>12</v>
      </c>
      <c r="E99" t="s">
        <v>17</v>
      </c>
      <c r="F99">
        <v>115</v>
      </c>
      <c r="G99">
        <v>252885</v>
      </c>
      <c r="H99">
        <v>212044</v>
      </c>
      <c r="I99">
        <v>628</v>
      </c>
    </row>
    <row r="100" spans="1:9" x14ac:dyDescent="0.35">
      <c r="A100" t="s">
        <v>72</v>
      </c>
      <c r="B100" t="s">
        <v>19</v>
      </c>
      <c r="C100" t="s">
        <v>11</v>
      </c>
      <c r="D100" t="s">
        <v>16</v>
      </c>
      <c r="E100" t="s">
        <v>17</v>
      </c>
      <c r="F100">
        <v>178</v>
      </c>
      <c r="G100">
        <v>279460</v>
      </c>
      <c r="H100">
        <v>233576</v>
      </c>
      <c r="I100">
        <v>255</v>
      </c>
    </row>
    <row r="101" spans="1:9" x14ac:dyDescent="0.35">
      <c r="A101" t="s">
        <v>71</v>
      </c>
      <c r="B101" t="s">
        <v>24</v>
      </c>
      <c r="C101" t="s">
        <v>11</v>
      </c>
      <c r="D101" t="s">
        <v>16</v>
      </c>
      <c r="E101" t="s">
        <v>17</v>
      </c>
      <c r="F101">
        <v>74</v>
      </c>
      <c r="G101">
        <v>125060</v>
      </c>
      <c r="H101">
        <v>97741</v>
      </c>
      <c r="I101">
        <v>288</v>
      </c>
    </row>
    <row r="102" spans="1:9" x14ac:dyDescent="0.35">
      <c r="A102" t="s">
        <v>51</v>
      </c>
      <c r="B102" t="s">
        <v>10</v>
      </c>
      <c r="C102" t="s">
        <v>11</v>
      </c>
      <c r="D102" t="s">
        <v>20</v>
      </c>
      <c r="E102" t="s">
        <v>17</v>
      </c>
      <c r="F102">
        <v>197</v>
      </c>
      <c r="G102">
        <v>400304</v>
      </c>
      <c r="H102">
        <v>272424</v>
      </c>
      <c r="I102">
        <v>206</v>
      </c>
    </row>
    <row r="103" spans="1:9" x14ac:dyDescent="0.35">
      <c r="A103" t="s">
        <v>32</v>
      </c>
      <c r="B103" t="s">
        <v>22</v>
      </c>
      <c r="C103" t="s">
        <v>11</v>
      </c>
      <c r="D103" t="s">
        <v>20</v>
      </c>
      <c r="E103" t="s">
        <v>17</v>
      </c>
      <c r="F103">
        <v>121</v>
      </c>
      <c r="G103">
        <v>302016</v>
      </c>
      <c r="H103">
        <v>201586</v>
      </c>
      <c r="I103">
        <v>815</v>
      </c>
    </row>
    <row r="104" spans="1:9" x14ac:dyDescent="0.35">
      <c r="A104" t="s">
        <v>55</v>
      </c>
      <c r="B104" t="s">
        <v>19</v>
      </c>
      <c r="C104" t="s">
        <v>11</v>
      </c>
      <c r="D104" t="s">
        <v>16</v>
      </c>
      <c r="E104" t="s">
        <v>30</v>
      </c>
      <c r="F104">
        <v>165</v>
      </c>
      <c r="G104">
        <v>287430</v>
      </c>
      <c r="H104">
        <v>226751</v>
      </c>
      <c r="I104">
        <v>764</v>
      </c>
    </row>
    <row r="105" spans="1:9" x14ac:dyDescent="0.35">
      <c r="A105" t="s">
        <v>73</v>
      </c>
      <c r="B105" t="s">
        <v>15</v>
      </c>
      <c r="C105" t="s">
        <v>11</v>
      </c>
      <c r="D105" t="s">
        <v>29</v>
      </c>
      <c r="E105" t="s">
        <v>13</v>
      </c>
      <c r="F105">
        <v>130</v>
      </c>
      <c r="G105">
        <v>213070</v>
      </c>
      <c r="H105">
        <v>174444</v>
      </c>
      <c r="I105">
        <v>523</v>
      </c>
    </row>
    <row r="106" spans="1:9" x14ac:dyDescent="0.35">
      <c r="A106" t="s">
        <v>35</v>
      </c>
      <c r="B106" t="s">
        <v>15</v>
      </c>
      <c r="C106" t="s">
        <v>11</v>
      </c>
      <c r="D106" t="s">
        <v>29</v>
      </c>
      <c r="E106" t="s">
        <v>13</v>
      </c>
      <c r="F106">
        <v>100</v>
      </c>
      <c r="G106">
        <v>201200</v>
      </c>
      <c r="H106">
        <v>150946</v>
      </c>
      <c r="I106">
        <v>972</v>
      </c>
    </row>
    <row r="107" spans="1:9" x14ac:dyDescent="0.35">
      <c r="A107" t="s">
        <v>32</v>
      </c>
      <c r="B107" t="s">
        <v>22</v>
      </c>
      <c r="C107" t="s">
        <v>11</v>
      </c>
      <c r="D107" t="s">
        <v>12</v>
      </c>
      <c r="E107" t="s">
        <v>13</v>
      </c>
      <c r="F107">
        <v>115</v>
      </c>
      <c r="G107">
        <v>278760</v>
      </c>
      <c r="H107">
        <v>205884</v>
      </c>
      <c r="I107">
        <v>591</v>
      </c>
    </row>
    <row r="108" spans="1:9" x14ac:dyDescent="0.35">
      <c r="A108" t="s">
        <v>56</v>
      </c>
      <c r="B108" t="s">
        <v>42</v>
      </c>
      <c r="C108" t="s">
        <v>11</v>
      </c>
      <c r="D108" t="s">
        <v>16</v>
      </c>
      <c r="E108" t="s">
        <v>30</v>
      </c>
      <c r="F108">
        <v>153</v>
      </c>
      <c r="G108">
        <v>246636</v>
      </c>
      <c r="H108">
        <v>208648</v>
      </c>
      <c r="I108">
        <v>593</v>
      </c>
    </row>
    <row r="109" spans="1:9" x14ac:dyDescent="0.35">
      <c r="A109" t="s">
        <v>33</v>
      </c>
      <c r="B109" t="s">
        <v>19</v>
      </c>
      <c r="C109" t="s">
        <v>11</v>
      </c>
      <c r="D109" t="s">
        <v>20</v>
      </c>
      <c r="E109" t="s">
        <v>30</v>
      </c>
      <c r="F109">
        <v>118</v>
      </c>
      <c r="G109">
        <v>288274</v>
      </c>
      <c r="H109">
        <v>244134</v>
      </c>
      <c r="I109">
        <v>477</v>
      </c>
    </row>
    <row r="110" spans="1:9" x14ac:dyDescent="0.35">
      <c r="A110" t="s">
        <v>28</v>
      </c>
      <c r="B110" t="s">
        <v>24</v>
      </c>
      <c r="C110" t="s">
        <v>11</v>
      </c>
      <c r="D110" t="s">
        <v>20</v>
      </c>
      <c r="E110" t="s">
        <v>17</v>
      </c>
      <c r="F110">
        <v>135</v>
      </c>
      <c r="G110">
        <v>308880</v>
      </c>
      <c r="H110">
        <v>233414</v>
      </c>
      <c r="I110">
        <v>664</v>
      </c>
    </row>
    <row r="111" spans="1:9" x14ac:dyDescent="0.35">
      <c r="A111" t="s">
        <v>69</v>
      </c>
      <c r="B111" t="s">
        <v>10</v>
      </c>
      <c r="C111" t="s">
        <v>11</v>
      </c>
      <c r="D111" t="s">
        <v>29</v>
      </c>
      <c r="E111" t="s">
        <v>30</v>
      </c>
      <c r="F111">
        <v>102</v>
      </c>
      <c r="G111">
        <v>235314</v>
      </c>
      <c r="H111">
        <v>185703</v>
      </c>
      <c r="I111">
        <v>758</v>
      </c>
    </row>
    <row r="112" spans="1:9" x14ac:dyDescent="0.35">
      <c r="A112" t="s">
        <v>49</v>
      </c>
      <c r="B112" t="s">
        <v>19</v>
      </c>
      <c r="C112" t="s">
        <v>11</v>
      </c>
      <c r="D112" t="s">
        <v>20</v>
      </c>
      <c r="E112" t="s">
        <v>30</v>
      </c>
      <c r="F112">
        <v>57</v>
      </c>
      <c r="G112">
        <v>92397</v>
      </c>
      <c r="H112">
        <v>71628</v>
      </c>
      <c r="I112">
        <v>883</v>
      </c>
    </row>
    <row r="113" spans="1:9" x14ac:dyDescent="0.35">
      <c r="A113" t="s">
        <v>74</v>
      </c>
      <c r="B113" t="s">
        <v>10</v>
      </c>
      <c r="C113" t="s">
        <v>11</v>
      </c>
      <c r="D113" t="s">
        <v>12</v>
      </c>
      <c r="E113" t="s">
        <v>13</v>
      </c>
      <c r="F113">
        <v>67</v>
      </c>
      <c r="G113">
        <v>140298</v>
      </c>
      <c r="H113">
        <v>113059</v>
      </c>
      <c r="I113">
        <v>712</v>
      </c>
    </row>
    <row r="114" spans="1:9" x14ac:dyDescent="0.35">
      <c r="A114" t="s">
        <v>49</v>
      </c>
      <c r="B114" t="s">
        <v>42</v>
      </c>
      <c r="C114" t="s">
        <v>11</v>
      </c>
      <c r="D114" t="s">
        <v>20</v>
      </c>
      <c r="E114" t="s">
        <v>13</v>
      </c>
      <c r="F114">
        <v>70</v>
      </c>
      <c r="G114">
        <v>127820</v>
      </c>
      <c r="H114">
        <v>86372</v>
      </c>
      <c r="I114">
        <v>335</v>
      </c>
    </row>
    <row r="115" spans="1:9" x14ac:dyDescent="0.35">
      <c r="A115" t="s">
        <v>18</v>
      </c>
      <c r="B115" t="s">
        <v>42</v>
      </c>
      <c r="C115" t="s">
        <v>11</v>
      </c>
      <c r="D115" t="s">
        <v>16</v>
      </c>
      <c r="E115" t="s">
        <v>17</v>
      </c>
      <c r="F115">
        <v>179</v>
      </c>
      <c r="G115">
        <v>351735</v>
      </c>
      <c r="H115">
        <v>281143</v>
      </c>
      <c r="I115">
        <v>687</v>
      </c>
    </row>
    <row r="116" spans="1:9" x14ac:dyDescent="0.35">
      <c r="A116" t="s">
        <v>71</v>
      </c>
      <c r="B116" t="s">
        <v>15</v>
      </c>
      <c r="C116" t="s">
        <v>11</v>
      </c>
      <c r="D116" t="s">
        <v>20</v>
      </c>
      <c r="E116" t="s">
        <v>13</v>
      </c>
      <c r="F116">
        <v>163</v>
      </c>
      <c r="G116">
        <v>264386</v>
      </c>
      <c r="H116">
        <v>219275</v>
      </c>
      <c r="I116">
        <v>566</v>
      </c>
    </row>
    <row r="117" spans="1:9" x14ac:dyDescent="0.35">
      <c r="A117" t="s">
        <v>63</v>
      </c>
      <c r="B117" t="s">
        <v>19</v>
      </c>
      <c r="C117" t="s">
        <v>11</v>
      </c>
      <c r="D117" t="s">
        <v>29</v>
      </c>
      <c r="E117" t="s">
        <v>13</v>
      </c>
      <c r="F117">
        <v>147</v>
      </c>
      <c r="G117">
        <v>332514</v>
      </c>
      <c r="H117">
        <v>241663</v>
      </c>
      <c r="I117">
        <v>744</v>
      </c>
    </row>
    <row r="118" spans="1:9" x14ac:dyDescent="0.35">
      <c r="A118" t="s">
        <v>63</v>
      </c>
      <c r="B118" t="s">
        <v>19</v>
      </c>
      <c r="C118" t="s">
        <v>11</v>
      </c>
      <c r="D118" t="s">
        <v>20</v>
      </c>
      <c r="E118" t="s">
        <v>30</v>
      </c>
      <c r="F118">
        <v>119</v>
      </c>
      <c r="G118">
        <v>289051</v>
      </c>
      <c r="H118">
        <v>228676</v>
      </c>
      <c r="I118">
        <v>507</v>
      </c>
    </row>
    <row r="119" spans="1:9" x14ac:dyDescent="0.35">
      <c r="A119" t="s">
        <v>75</v>
      </c>
      <c r="B119" t="s">
        <v>42</v>
      </c>
      <c r="C119" t="s">
        <v>11</v>
      </c>
      <c r="D119" t="s">
        <v>16</v>
      </c>
      <c r="E119" t="s">
        <v>30</v>
      </c>
      <c r="F119">
        <v>79</v>
      </c>
      <c r="G119">
        <v>137144</v>
      </c>
      <c r="H119">
        <v>111359</v>
      </c>
      <c r="I119">
        <v>521</v>
      </c>
    </row>
    <row r="120" spans="1:9" x14ac:dyDescent="0.35">
      <c r="A120" t="s">
        <v>72</v>
      </c>
      <c r="B120" t="s">
        <v>24</v>
      </c>
      <c r="C120" t="s">
        <v>11</v>
      </c>
      <c r="D120" t="s">
        <v>20</v>
      </c>
      <c r="E120" t="s">
        <v>30</v>
      </c>
      <c r="F120">
        <v>99</v>
      </c>
      <c r="G120">
        <v>232155</v>
      </c>
      <c r="H120">
        <v>152162</v>
      </c>
      <c r="I120">
        <v>798</v>
      </c>
    </row>
    <row r="121" spans="1:9" x14ac:dyDescent="0.35">
      <c r="A121" t="s">
        <v>52</v>
      </c>
      <c r="B121" t="s">
        <v>19</v>
      </c>
      <c r="C121" t="s">
        <v>11</v>
      </c>
      <c r="D121" t="s">
        <v>12</v>
      </c>
      <c r="E121" t="s">
        <v>13</v>
      </c>
      <c r="F121">
        <v>181</v>
      </c>
      <c r="G121">
        <v>404173</v>
      </c>
      <c r="H121">
        <v>269202</v>
      </c>
      <c r="I121">
        <v>454</v>
      </c>
    </row>
    <row r="122" spans="1:9" x14ac:dyDescent="0.35">
      <c r="A122" t="s">
        <v>44</v>
      </c>
      <c r="B122" t="s">
        <v>19</v>
      </c>
      <c r="C122" t="s">
        <v>11</v>
      </c>
      <c r="D122" t="s">
        <v>29</v>
      </c>
      <c r="E122" t="s">
        <v>17</v>
      </c>
      <c r="F122">
        <v>179</v>
      </c>
      <c r="G122">
        <v>320410</v>
      </c>
      <c r="H122">
        <v>256308</v>
      </c>
      <c r="I122">
        <v>961</v>
      </c>
    </row>
    <row r="123" spans="1:9" x14ac:dyDescent="0.35">
      <c r="A123" t="s">
        <v>69</v>
      </c>
      <c r="B123" t="s">
        <v>24</v>
      </c>
      <c r="C123" t="s">
        <v>11</v>
      </c>
      <c r="D123" t="s">
        <v>12</v>
      </c>
      <c r="E123" t="s">
        <v>13</v>
      </c>
      <c r="F123">
        <v>197</v>
      </c>
      <c r="G123">
        <v>448372</v>
      </c>
      <c r="H123">
        <v>286837</v>
      </c>
      <c r="I123">
        <v>517</v>
      </c>
    </row>
    <row r="124" spans="1:9" x14ac:dyDescent="0.35">
      <c r="A124" t="s">
        <v>26</v>
      </c>
      <c r="B124" t="s">
        <v>10</v>
      </c>
      <c r="C124" t="s">
        <v>11</v>
      </c>
      <c r="D124" t="s">
        <v>16</v>
      </c>
      <c r="E124" t="s">
        <v>17</v>
      </c>
      <c r="F124">
        <v>173</v>
      </c>
      <c r="G124">
        <v>363992</v>
      </c>
      <c r="H124">
        <v>298781</v>
      </c>
      <c r="I124">
        <v>620</v>
      </c>
    </row>
    <row r="125" spans="1:9" x14ac:dyDescent="0.35">
      <c r="A125" t="s">
        <v>73</v>
      </c>
      <c r="B125" t="s">
        <v>42</v>
      </c>
      <c r="C125" t="s">
        <v>11</v>
      </c>
      <c r="D125" t="s">
        <v>20</v>
      </c>
      <c r="E125" t="s">
        <v>13</v>
      </c>
      <c r="F125">
        <v>143</v>
      </c>
      <c r="G125">
        <v>275275</v>
      </c>
      <c r="H125">
        <v>182294</v>
      </c>
      <c r="I125">
        <v>874</v>
      </c>
    </row>
    <row r="126" spans="1:9" x14ac:dyDescent="0.35">
      <c r="A126" t="s">
        <v>9</v>
      </c>
      <c r="B126" t="s">
        <v>24</v>
      </c>
      <c r="C126" t="s">
        <v>11</v>
      </c>
      <c r="D126" t="s">
        <v>16</v>
      </c>
      <c r="E126" t="s">
        <v>17</v>
      </c>
      <c r="F126">
        <v>197</v>
      </c>
      <c r="G126">
        <v>397546</v>
      </c>
      <c r="H126">
        <v>316734</v>
      </c>
      <c r="I126">
        <v>737</v>
      </c>
    </row>
    <row r="127" spans="1:9" x14ac:dyDescent="0.35">
      <c r="A127" t="s">
        <v>44</v>
      </c>
      <c r="B127" t="s">
        <v>10</v>
      </c>
      <c r="C127" t="s">
        <v>11</v>
      </c>
      <c r="D127" t="s">
        <v>20</v>
      </c>
      <c r="E127" t="s">
        <v>17</v>
      </c>
      <c r="F127">
        <v>112</v>
      </c>
      <c r="G127">
        <v>240688</v>
      </c>
      <c r="H127">
        <v>165914</v>
      </c>
      <c r="I127">
        <v>576</v>
      </c>
    </row>
    <row r="128" spans="1:9" x14ac:dyDescent="0.35">
      <c r="A128" t="s">
        <v>31</v>
      </c>
      <c r="B128" t="s">
        <v>19</v>
      </c>
      <c r="C128" t="s">
        <v>11</v>
      </c>
      <c r="D128" t="s">
        <v>16</v>
      </c>
      <c r="E128" t="s">
        <v>17</v>
      </c>
      <c r="F128">
        <v>123</v>
      </c>
      <c r="G128">
        <v>187329</v>
      </c>
      <c r="H128">
        <v>136776</v>
      </c>
      <c r="I128">
        <v>545</v>
      </c>
    </row>
    <row r="129" spans="1:9" x14ac:dyDescent="0.35">
      <c r="A129" t="s">
        <v>45</v>
      </c>
      <c r="B129" t="s">
        <v>42</v>
      </c>
      <c r="C129" t="s">
        <v>11</v>
      </c>
      <c r="D129" t="s">
        <v>29</v>
      </c>
      <c r="E129" t="s">
        <v>30</v>
      </c>
      <c r="F129">
        <v>79</v>
      </c>
      <c r="G129">
        <v>168665</v>
      </c>
      <c r="H129">
        <v>104701</v>
      </c>
      <c r="I129">
        <v>707</v>
      </c>
    </row>
    <row r="130" spans="1:9" x14ac:dyDescent="0.35">
      <c r="A130" t="s">
        <v>59</v>
      </c>
      <c r="B130" t="s">
        <v>22</v>
      </c>
      <c r="C130" t="s">
        <v>11</v>
      </c>
      <c r="D130" t="s">
        <v>12</v>
      </c>
      <c r="E130" t="s">
        <v>17</v>
      </c>
      <c r="F130">
        <v>168</v>
      </c>
      <c r="G130">
        <v>278880</v>
      </c>
      <c r="H130">
        <v>225332</v>
      </c>
      <c r="I130">
        <v>669</v>
      </c>
    </row>
    <row r="131" spans="1:9" x14ac:dyDescent="0.35">
      <c r="A131" t="s">
        <v>37</v>
      </c>
      <c r="B131" t="s">
        <v>15</v>
      </c>
      <c r="C131" t="s">
        <v>11</v>
      </c>
      <c r="D131" t="s">
        <v>29</v>
      </c>
      <c r="E131" t="s">
        <v>17</v>
      </c>
      <c r="F131">
        <v>159</v>
      </c>
      <c r="G131">
        <v>395751</v>
      </c>
      <c r="H131">
        <v>244775</v>
      </c>
      <c r="I131">
        <v>344</v>
      </c>
    </row>
    <row r="132" spans="1:9" x14ac:dyDescent="0.35">
      <c r="A132" t="s">
        <v>26</v>
      </c>
      <c r="B132" t="s">
        <v>22</v>
      </c>
      <c r="C132" t="s">
        <v>11</v>
      </c>
      <c r="D132" t="s">
        <v>12</v>
      </c>
      <c r="E132" t="s">
        <v>30</v>
      </c>
      <c r="F132">
        <v>167</v>
      </c>
      <c r="G132">
        <v>355376</v>
      </c>
      <c r="H132">
        <v>258120</v>
      </c>
      <c r="I132">
        <v>804</v>
      </c>
    </row>
    <row r="133" spans="1:9" x14ac:dyDescent="0.35">
      <c r="A133" t="s">
        <v>57</v>
      </c>
      <c r="B133" t="s">
        <v>19</v>
      </c>
      <c r="C133" t="s">
        <v>11</v>
      </c>
      <c r="D133" t="s">
        <v>29</v>
      </c>
      <c r="E133" t="s">
        <v>17</v>
      </c>
      <c r="F133">
        <v>119</v>
      </c>
      <c r="G133">
        <v>219793</v>
      </c>
      <c r="H133">
        <v>153321</v>
      </c>
      <c r="I133">
        <v>917</v>
      </c>
    </row>
    <row r="134" spans="1:9" x14ac:dyDescent="0.35">
      <c r="A134" t="s">
        <v>59</v>
      </c>
      <c r="B134" t="s">
        <v>15</v>
      </c>
      <c r="C134" t="s">
        <v>11</v>
      </c>
      <c r="D134" t="s">
        <v>29</v>
      </c>
      <c r="E134" t="s">
        <v>30</v>
      </c>
      <c r="F134">
        <v>111</v>
      </c>
      <c r="G134">
        <v>237096</v>
      </c>
      <c r="H134">
        <v>184019</v>
      </c>
      <c r="I134">
        <v>219</v>
      </c>
    </row>
    <row r="135" spans="1:9" x14ac:dyDescent="0.35">
      <c r="A135" t="s">
        <v>35</v>
      </c>
      <c r="B135" t="s">
        <v>19</v>
      </c>
      <c r="C135" t="s">
        <v>11</v>
      </c>
      <c r="D135" t="s">
        <v>29</v>
      </c>
      <c r="E135" t="s">
        <v>13</v>
      </c>
      <c r="F135">
        <v>172</v>
      </c>
      <c r="G135">
        <v>386656</v>
      </c>
      <c r="H135">
        <v>233606</v>
      </c>
      <c r="I135">
        <v>415</v>
      </c>
    </row>
    <row r="136" spans="1:9" x14ac:dyDescent="0.35">
      <c r="A136" t="s">
        <v>48</v>
      </c>
      <c r="B136" t="s">
        <v>42</v>
      </c>
      <c r="C136" t="s">
        <v>11</v>
      </c>
      <c r="D136" t="s">
        <v>29</v>
      </c>
      <c r="E136" t="s">
        <v>30</v>
      </c>
      <c r="F136">
        <v>112</v>
      </c>
      <c r="G136">
        <v>191744</v>
      </c>
      <c r="H136">
        <v>121813</v>
      </c>
      <c r="I136">
        <v>979</v>
      </c>
    </row>
    <row r="137" spans="1:9" x14ac:dyDescent="0.35">
      <c r="A137" t="s">
        <v>69</v>
      </c>
      <c r="B137" t="s">
        <v>15</v>
      </c>
      <c r="C137" t="s">
        <v>11</v>
      </c>
      <c r="D137" t="s">
        <v>16</v>
      </c>
      <c r="E137" t="s">
        <v>17</v>
      </c>
      <c r="F137">
        <v>151</v>
      </c>
      <c r="G137">
        <v>321630</v>
      </c>
      <c r="H137">
        <v>220753</v>
      </c>
      <c r="I137">
        <v>612</v>
      </c>
    </row>
    <row r="138" spans="1:9" x14ac:dyDescent="0.35">
      <c r="A138" t="s">
        <v>76</v>
      </c>
      <c r="B138" t="s">
        <v>15</v>
      </c>
      <c r="C138" t="s">
        <v>11</v>
      </c>
      <c r="D138" t="s">
        <v>29</v>
      </c>
      <c r="E138" t="s">
        <v>17</v>
      </c>
      <c r="F138">
        <v>101</v>
      </c>
      <c r="G138">
        <v>251288</v>
      </c>
      <c r="H138">
        <v>174942</v>
      </c>
      <c r="I138">
        <v>538</v>
      </c>
    </row>
    <row r="139" spans="1:9" x14ac:dyDescent="0.35">
      <c r="A139" t="s">
        <v>53</v>
      </c>
      <c r="B139" t="s">
        <v>15</v>
      </c>
      <c r="C139" t="s">
        <v>11</v>
      </c>
      <c r="D139" t="s">
        <v>16</v>
      </c>
      <c r="E139" t="s">
        <v>13</v>
      </c>
      <c r="F139">
        <v>98</v>
      </c>
      <c r="G139">
        <v>215404</v>
      </c>
      <c r="H139">
        <v>172375</v>
      </c>
      <c r="I139">
        <v>884</v>
      </c>
    </row>
    <row r="140" spans="1:9" x14ac:dyDescent="0.35">
      <c r="A140" t="s">
        <v>9</v>
      </c>
      <c r="B140" t="s">
        <v>10</v>
      </c>
      <c r="C140" t="s">
        <v>11</v>
      </c>
      <c r="D140" t="s">
        <v>12</v>
      </c>
      <c r="E140" t="s">
        <v>13</v>
      </c>
      <c r="F140">
        <v>115</v>
      </c>
      <c r="G140">
        <v>274620</v>
      </c>
      <c r="H140">
        <v>224593</v>
      </c>
      <c r="I140">
        <v>323</v>
      </c>
    </row>
    <row r="141" spans="1:9" x14ac:dyDescent="0.35">
      <c r="A141" t="s">
        <v>14</v>
      </c>
      <c r="B141" t="s">
        <v>15</v>
      </c>
      <c r="C141" t="s">
        <v>11</v>
      </c>
      <c r="D141" t="s">
        <v>20</v>
      </c>
      <c r="E141" t="s">
        <v>30</v>
      </c>
      <c r="F141">
        <v>150</v>
      </c>
      <c r="G141">
        <v>371700</v>
      </c>
      <c r="H141">
        <v>243247</v>
      </c>
      <c r="I141">
        <v>344</v>
      </c>
    </row>
    <row r="142" spans="1:9" x14ac:dyDescent="0.35">
      <c r="A142" t="s">
        <v>60</v>
      </c>
      <c r="B142" t="s">
        <v>42</v>
      </c>
      <c r="C142" t="s">
        <v>11</v>
      </c>
      <c r="D142" t="s">
        <v>12</v>
      </c>
      <c r="E142" t="s">
        <v>17</v>
      </c>
      <c r="F142">
        <v>104</v>
      </c>
      <c r="G142">
        <v>195832</v>
      </c>
      <c r="H142">
        <v>147544</v>
      </c>
      <c r="I142">
        <v>795</v>
      </c>
    </row>
    <row r="143" spans="1:9" x14ac:dyDescent="0.35">
      <c r="A143" t="s">
        <v>37</v>
      </c>
      <c r="B143" t="s">
        <v>22</v>
      </c>
      <c r="C143" t="s">
        <v>11</v>
      </c>
      <c r="D143" t="s">
        <v>20</v>
      </c>
      <c r="E143" t="s">
        <v>13</v>
      </c>
      <c r="F143">
        <v>162</v>
      </c>
      <c r="G143">
        <v>261306</v>
      </c>
      <c r="H143">
        <v>174612</v>
      </c>
      <c r="I143">
        <v>508</v>
      </c>
    </row>
    <row r="144" spans="1:9" x14ac:dyDescent="0.35">
      <c r="A144" t="s">
        <v>18</v>
      </c>
      <c r="B144" t="s">
        <v>19</v>
      </c>
      <c r="C144" t="s">
        <v>11</v>
      </c>
      <c r="D144" t="s">
        <v>20</v>
      </c>
      <c r="E144" t="s">
        <v>17</v>
      </c>
      <c r="F144">
        <v>63</v>
      </c>
      <c r="G144">
        <v>128583</v>
      </c>
      <c r="H144">
        <v>90297</v>
      </c>
      <c r="I144">
        <v>209</v>
      </c>
    </row>
    <row r="145" spans="1:9" x14ac:dyDescent="0.35">
      <c r="A145" t="s">
        <v>14</v>
      </c>
      <c r="B145" t="s">
        <v>10</v>
      </c>
      <c r="C145" t="s">
        <v>11</v>
      </c>
      <c r="D145" t="s">
        <v>12</v>
      </c>
      <c r="E145" t="s">
        <v>30</v>
      </c>
      <c r="F145">
        <v>179</v>
      </c>
      <c r="G145">
        <v>311460</v>
      </c>
      <c r="H145">
        <v>198934</v>
      </c>
      <c r="I145">
        <v>413</v>
      </c>
    </row>
    <row r="146" spans="1:9" x14ac:dyDescent="0.35">
      <c r="A146" t="s">
        <v>70</v>
      </c>
      <c r="B146" t="s">
        <v>10</v>
      </c>
      <c r="C146" t="s">
        <v>11</v>
      </c>
      <c r="D146" t="s">
        <v>12</v>
      </c>
      <c r="E146" t="s">
        <v>30</v>
      </c>
      <c r="F146">
        <v>85</v>
      </c>
      <c r="G146">
        <v>142035</v>
      </c>
      <c r="H146">
        <v>112420</v>
      </c>
      <c r="I146">
        <v>493</v>
      </c>
    </row>
    <row r="147" spans="1:9" x14ac:dyDescent="0.35">
      <c r="A147" t="s">
        <v>58</v>
      </c>
      <c r="B147" t="s">
        <v>22</v>
      </c>
      <c r="C147" t="s">
        <v>11</v>
      </c>
      <c r="D147" t="s">
        <v>12</v>
      </c>
      <c r="E147" t="s">
        <v>17</v>
      </c>
      <c r="F147">
        <v>99</v>
      </c>
      <c r="G147">
        <v>164340</v>
      </c>
      <c r="H147">
        <v>98806</v>
      </c>
      <c r="I147">
        <v>684</v>
      </c>
    </row>
    <row r="148" spans="1:9" x14ac:dyDescent="0.35">
      <c r="A148" t="s">
        <v>43</v>
      </c>
      <c r="B148" t="s">
        <v>10</v>
      </c>
      <c r="C148" t="s">
        <v>11</v>
      </c>
      <c r="D148" t="s">
        <v>29</v>
      </c>
      <c r="E148" t="s">
        <v>17</v>
      </c>
      <c r="F148">
        <v>193</v>
      </c>
      <c r="G148">
        <v>479991</v>
      </c>
      <c r="H148">
        <v>295453</v>
      </c>
      <c r="I148">
        <v>693</v>
      </c>
    </row>
    <row r="149" spans="1:9" x14ac:dyDescent="0.35">
      <c r="A149" t="s">
        <v>41</v>
      </c>
      <c r="B149" t="s">
        <v>42</v>
      </c>
      <c r="C149" t="s">
        <v>11</v>
      </c>
      <c r="D149" t="s">
        <v>20</v>
      </c>
      <c r="E149" t="s">
        <v>13</v>
      </c>
      <c r="F149">
        <v>99</v>
      </c>
      <c r="G149">
        <v>222057</v>
      </c>
      <c r="H149">
        <v>182695</v>
      </c>
      <c r="I149">
        <v>221</v>
      </c>
    </row>
    <row r="150" spans="1:9" x14ac:dyDescent="0.35">
      <c r="A150" t="s">
        <v>71</v>
      </c>
      <c r="B150" t="s">
        <v>22</v>
      </c>
      <c r="C150" t="s">
        <v>11</v>
      </c>
      <c r="D150" t="s">
        <v>12</v>
      </c>
      <c r="E150" t="s">
        <v>30</v>
      </c>
      <c r="F150">
        <v>73</v>
      </c>
      <c r="G150">
        <v>171039</v>
      </c>
      <c r="H150">
        <v>110797</v>
      </c>
      <c r="I150">
        <v>767</v>
      </c>
    </row>
    <row r="151" spans="1:9" x14ac:dyDescent="0.35">
      <c r="A151" t="s">
        <v>43</v>
      </c>
      <c r="B151" t="s">
        <v>19</v>
      </c>
      <c r="C151" t="s">
        <v>11</v>
      </c>
      <c r="D151" t="s">
        <v>12</v>
      </c>
      <c r="E151" t="s">
        <v>30</v>
      </c>
      <c r="F151">
        <v>146</v>
      </c>
      <c r="G151">
        <v>353904</v>
      </c>
      <c r="H151">
        <v>248564</v>
      </c>
      <c r="I151">
        <v>313</v>
      </c>
    </row>
    <row r="152" spans="1:9" x14ac:dyDescent="0.35">
      <c r="A152" t="s">
        <v>23</v>
      </c>
      <c r="B152" t="s">
        <v>42</v>
      </c>
      <c r="C152" t="s">
        <v>11</v>
      </c>
      <c r="D152" t="s">
        <v>20</v>
      </c>
      <c r="E152" t="s">
        <v>30</v>
      </c>
      <c r="F152">
        <v>140</v>
      </c>
      <c r="G152">
        <v>305200</v>
      </c>
      <c r="H152">
        <v>227464</v>
      </c>
      <c r="I152">
        <v>320</v>
      </c>
    </row>
    <row r="153" spans="1:9" x14ac:dyDescent="0.35">
      <c r="A153" t="s">
        <v>54</v>
      </c>
      <c r="B153" t="s">
        <v>22</v>
      </c>
      <c r="C153" t="s">
        <v>11</v>
      </c>
      <c r="D153" t="s">
        <v>20</v>
      </c>
      <c r="E153" t="s">
        <v>13</v>
      </c>
      <c r="F153">
        <v>154</v>
      </c>
      <c r="G153">
        <v>316932</v>
      </c>
      <c r="H153">
        <v>210802</v>
      </c>
      <c r="I153">
        <v>559</v>
      </c>
    </row>
    <row r="154" spans="1:9" x14ac:dyDescent="0.35">
      <c r="A154" t="s">
        <v>55</v>
      </c>
      <c r="B154" t="s">
        <v>22</v>
      </c>
      <c r="C154" t="s">
        <v>11</v>
      </c>
      <c r="D154" t="s">
        <v>29</v>
      </c>
      <c r="E154" t="s">
        <v>17</v>
      </c>
      <c r="F154">
        <v>132</v>
      </c>
      <c r="G154">
        <v>243144</v>
      </c>
      <c r="H154">
        <v>184140</v>
      </c>
      <c r="I154">
        <v>218</v>
      </c>
    </row>
    <row r="155" spans="1:9" x14ac:dyDescent="0.35">
      <c r="A155" t="s">
        <v>39</v>
      </c>
      <c r="B155" t="s">
        <v>10</v>
      </c>
      <c r="C155" t="s">
        <v>11</v>
      </c>
      <c r="D155" t="s">
        <v>29</v>
      </c>
      <c r="E155" t="s">
        <v>13</v>
      </c>
      <c r="F155">
        <v>163</v>
      </c>
      <c r="G155">
        <v>259007</v>
      </c>
      <c r="H155">
        <v>219794</v>
      </c>
      <c r="I155">
        <v>824</v>
      </c>
    </row>
    <row r="156" spans="1:9" x14ac:dyDescent="0.35">
      <c r="A156" t="s">
        <v>14</v>
      </c>
      <c r="B156" t="s">
        <v>19</v>
      </c>
      <c r="C156" t="s">
        <v>11</v>
      </c>
      <c r="D156" t="s">
        <v>12</v>
      </c>
      <c r="E156" t="s">
        <v>13</v>
      </c>
      <c r="F156">
        <v>55</v>
      </c>
      <c r="G156">
        <v>101970</v>
      </c>
      <c r="H156">
        <v>72354</v>
      </c>
      <c r="I156">
        <v>938</v>
      </c>
    </row>
    <row r="157" spans="1:9" x14ac:dyDescent="0.35">
      <c r="A157" t="s">
        <v>65</v>
      </c>
      <c r="B157" t="s">
        <v>42</v>
      </c>
      <c r="C157" t="s">
        <v>11</v>
      </c>
      <c r="D157" t="s">
        <v>12</v>
      </c>
      <c r="E157" t="s">
        <v>13</v>
      </c>
      <c r="F157">
        <v>92</v>
      </c>
      <c r="G157">
        <v>164128</v>
      </c>
      <c r="H157">
        <v>115453</v>
      </c>
      <c r="I157">
        <v>318</v>
      </c>
    </row>
    <row r="158" spans="1:9" x14ac:dyDescent="0.35">
      <c r="A158" t="s">
        <v>43</v>
      </c>
      <c r="B158" t="s">
        <v>15</v>
      </c>
      <c r="C158" t="s">
        <v>11</v>
      </c>
      <c r="D158" t="s">
        <v>16</v>
      </c>
      <c r="E158" t="s">
        <v>17</v>
      </c>
      <c r="F158">
        <v>171</v>
      </c>
      <c r="G158">
        <v>368163</v>
      </c>
      <c r="H158">
        <v>303555</v>
      </c>
      <c r="I158">
        <v>618</v>
      </c>
    </row>
    <row r="159" spans="1:9" x14ac:dyDescent="0.35">
      <c r="A159" t="s">
        <v>71</v>
      </c>
      <c r="B159" t="s">
        <v>24</v>
      </c>
      <c r="C159" t="s">
        <v>11</v>
      </c>
      <c r="D159" t="s">
        <v>12</v>
      </c>
      <c r="E159" t="s">
        <v>13</v>
      </c>
      <c r="F159">
        <v>62</v>
      </c>
      <c r="G159">
        <v>126480</v>
      </c>
      <c r="H159">
        <v>104123</v>
      </c>
      <c r="I159">
        <v>431</v>
      </c>
    </row>
    <row r="160" spans="1:9" x14ac:dyDescent="0.35">
      <c r="A160" t="s">
        <v>46</v>
      </c>
      <c r="B160" t="s">
        <v>24</v>
      </c>
      <c r="C160" t="s">
        <v>11</v>
      </c>
      <c r="D160" t="s">
        <v>16</v>
      </c>
      <c r="E160" t="s">
        <v>30</v>
      </c>
      <c r="F160">
        <v>122</v>
      </c>
      <c r="G160">
        <v>199836</v>
      </c>
      <c r="H160">
        <v>129162</v>
      </c>
      <c r="I160">
        <v>955</v>
      </c>
    </row>
    <row r="161" spans="1:9" x14ac:dyDescent="0.35">
      <c r="A161" t="s">
        <v>34</v>
      </c>
      <c r="B161" t="s">
        <v>24</v>
      </c>
      <c r="C161" t="s">
        <v>11</v>
      </c>
      <c r="D161" t="s">
        <v>12</v>
      </c>
      <c r="E161" t="s">
        <v>17</v>
      </c>
      <c r="F161">
        <v>53</v>
      </c>
      <c r="G161">
        <v>96566</v>
      </c>
      <c r="H161">
        <v>70146</v>
      </c>
      <c r="I161">
        <v>630</v>
      </c>
    </row>
    <row r="162" spans="1:9" x14ac:dyDescent="0.35">
      <c r="A162" t="s">
        <v>61</v>
      </c>
      <c r="B162" t="s">
        <v>24</v>
      </c>
      <c r="C162" t="s">
        <v>11</v>
      </c>
      <c r="D162" t="s">
        <v>12</v>
      </c>
      <c r="E162" t="s">
        <v>13</v>
      </c>
      <c r="F162">
        <v>59</v>
      </c>
      <c r="G162">
        <v>112985</v>
      </c>
      <c r="H162">
        <v>92963</v>
      </c>
      <c r="I162">
        <v>237</v>
      </c>
    </row>
    <row r="163" spans="1:9" x14ac:dyDescent="0.35">
      <c r="A163" t="s">
        <v>77</v>
      </c>
      <c r="B163" t="s">
        <v>42</v>
      </c>
      <c r="C163" t="s">
        <v>11</v>
      </c>
      <c r="D163" t="s">
        <v>12</v>
      </c>
      <c r="E163" t="s">
        <v>30</v>
      </c>
      <c r="F163">
        <v>193</v>
      </c>
      <c r="G163">
        <v>325012</v>
      </c>
      <c r="H163">
        <v>234464</v>
      </c>
      <c r="I163">
        <v>275</v>
      </c>
    </row>
    <row r="164" spans="1:9" x14ac:dyDescent="0.35">
      <c r="A164" t="s">
        <v>32</v>
      </c>
      <c r="B164" t="s">
        <v>24</v>
      </c>
      <c r="C164" t="s">
        <v>11</v>
      </c>
      <c r="D164" t="s">
        <v>16</v>
      </c>
      <c r="E164" t="s">
        <v>17</v>
      </c>
      <c r="F164">
        <v>183</v>
      </c>
      <c r="G164">
        <v>390522</v>
      </c>
      <c r="H164">
        <v>321327</v>
      </c>
      <c r="I164">
        <v>640</v>
      </c>
    </row>
    <row r="165" spans="1:9" x14ac:dyDescent="0.35">
      <c r="A165" t="s">
        <v>75</v>
      </c>
      <c r="B165" t="s">
        <v>19</v>
      </c>
      <c r="C165" t="s">
        <v>11</v>
      </c>
      <c r="D165" t="s">
        <v>16</v>
      </c>
      <c r="E165" t="s">
        <v>13</v>
      </c>
      <c r="F165">
        <v>192</v>
      </c>
      <c r="G165">
        <v>475008</v>
      </c>
      <c r="H165">
        <v>360858</v>
      </c>
      <c r="I165">
        <v>780</v>
      </c>
    </row>
    <row r="166" spans="1:9" x14ac:dyDescent="0.35">
      <c r="A166" t="s">
        <v>38</v>
      </c>
      <c r="B166" t="s">
        <v>24</v>
      </c>
      <c r="C166" t="s">
        <v>11</v>
      </c>
      <c r="D166" t="s">
        <v>20</v>
      </c>
      <c r="E166" t="s">
        <v>17</v>
      </c>
      <c r="F166">
        <v>61</v>
      </c>
      <c r="G166">
        <v>102541</v>
      </c>
      <c r="H166">
        <v>73976</v>
      </c>
      <c r="I166">
        <v>665</v>
      </c>
    </row>
    <row r="167" spans="1:9" x14ac:dyDescent="0.35">
      <c r="A167" t="s">
        <v>45</v>
      </c>
      <c r="B167" t="s">
        <v>22</v>
      </c>
      <c r="C167" t="s">
        <v>11</v>
      </c>
      <c r="D167" t="s">
        <v>12</v>
      </c>
      <c r="E167" t="s">
        <v>30</v>
      </c>
      <c r="F167">
        <v>78</v>
      </c>
      <c r="G167">
        <v>123708</v>
      </c>
      <c r="H167">
        <v>87984</v>
      </c>
      <c r="I167">
        <v>535</v>
      </c>
    </row>
    <row r="168" spans="1:9" x14ac:dyDescent="0.35">
      <c r="A168" t="s">
        <v>26</v>
      </c>
      <c r="B168" t="s">
        <v>24</v>
      </c>
      <c r="C168" t="s">
        <v>11</v>
      </c>
      <c r="D168" t="s">
        <v>16</v>
      </c>
      <c r="E168" t="s">
        <v>30</v>
      </c>
      <c r="F168">
        <v>89</v>
      </c>
      <c r="G168">
        <v>199182</v>
      </c>
      <c r="H168">
        <v>163392</v>
      </c>
      <c r="I168">
        <v>632</v>
      </c>
    </row>
    <row r="169" spans="1:9" x14ac:dyDescent="0.35">
      <c r="A169" t="s">
        <v>32</v>
      </c>
      <c r="B169" t="s">
        <v>42</v>
      </c>
      <c r="C169" t="s">
        <v>11</v>
      </c>
      <c r="D169" t="s">
        <v>20</v>
      </c>
      <c r="E169" t="s">
        <v>17</v>
      </c>
      <c r="F169">
        <v>124</v>
      </c>
      <c r="G169">
        <v>202616</v>
      </c>
      <c r="H169">
        <v>135781</v>
      </c>
      <c r="I169">
        <v>665</v>
      </c>
    </row>
    <row r="170" spans="1:9" x14ac:dyDescent="0.35">
      <c r="A170" t="s">
        <v>57</v>
      </c>
      <c r="B170" t="s">
        <v>15</v>
      </c>
      <c r="C170" t="s">
        <v>11</v>
      </c>
      <c r="D170" t="s">
        <v>20</v>
      </c>
      <c r="E170" t="s">
        <v>13</v>
      </c>
      <c r="F170">
        <v>97</v>
      </c>
      <c r="G170">
        <v>161699</v>
      </c>
      <c r="H170">
        <v>130971</v>
      </c>
      <c r="I170">
        <v>424</v>
      </c>
    </row>
    <row r="171" spans="1:9" x14ac:dyDescent="0.35">
      <c r="A171" t="s">
        <v>39</v>
      </c>
      <c r="B171" t="s">
        <v>42</v>
      </c>
      <c r="C171" t="s">
        <v>11</v>
      </c>
      <c r="D171" t="s">
        <v>12</v>
      </c>
      <c r="E171" t="s">
        <v>17</v>
      </c>
      <c r="F171">
        <v>150</v>
      </c>
      <c r="G171">
        <v>364800</v>
      </c>
      <c r="H171">
        <v>282712</v>
      </c>
      <c r="I171">
        <v>443</v>
      </c>
    </row>
    <row r="172" spans="1:9" x14ac:dyDescent="0.35">
      <c r="A172" t="s">
        <v>72</v>
      </c>
      <c r="B172" t="s">
        <v>10</v>
      </c>
      <c r="C172" t="s">
        <v>11</v>
      </c>
      <c r="D172" t="s">
        <v>16</v>
      </c>
      <c r="E172" t="s">
        <v>13</v>
      </c>
      <c r="F172">
        <v>91</v>
      </c>
      <c r="G172">
        <v>226499</v>
      </c>
      <c r="H172">
        <v>162012</v>
      </c>
      <c r="I172">
        <v>824</v>
      </c>
    </row>
    <row r="173" spans="1:9" x14ac:dyDescent="0.35">
      <c r="A173" t="s">
        <v>44</v>
      </c>
      <c r="B173" t="s">
        <v>15</v>
      </c>
      <c r="C173" t="s">
        <v>11</v>
      </c>
      <c r="D173" t="s">
        <v>29</v>
      </c>
      <c r="E173" t="s">
        <v>30</v>
      </c>
      <c r="F173">
        <v>139</v>
      </c>
      <c r="G173">
        <v>341245</v>
      </c>
      <c r="H173">
        <v>233598</v>
      </c>
      <c r="I173">
        <v>348</v>
      </c>
    </row>
    <row r="174" spans="1:9" x14ac:dyDescent="0.35">
      <c r="A174" t="s">
        <v>34</v>
      </c>
      <c r="B174" t="s">
        <v>22</v>
      </c>
      <c r="C174" t="s">
        <v>11</v>
      </c>
      <c r="D174" t="s">
        <v>12</v>
      </c>
      <c r="E174" t="s">
        <v>30</v>
      </c>
      <c r="F174">
        <v>187</v>
      </c>
      <c r="G174">
        <v>449548</v>
      </c>
      <c r="H174">
        <v>287639</v>
      </c>
      <c r="I174">
        <v>858</v>
      </c>
    </row>
    <row r="175" spans="1:9" x14ac:dyDescent="0.35">
      <c r="A175" t="s">
        <v>69</v>
      </c>
      <c r="B175" t="s">
        <v>24</v>
      </c>
      <c r="C175" t="s">
        <v>11</v>
      </c>
      <c r="D175" t="s">
        <v>16</v>
      </c>
      <c r="E175" t="s">
        <v>30</v>
      </c>
      <c r="F175">
        <v>157</v>
      </c>
      <c r="G175">
        <v>311017</v>
      </c>
      <c r="H175">
        <v>195692</v>
      </c>
      <c r="I175">
        <v>919</v>
      </c>
    </row>
    <row r="176" spans="1:9" x14ac:dyDescent="0.35">
      <c r="A176" t="s">
        <v>47</v>
      </c>
      <c r="B176" t="s">
        <v>22</v>
      </c>
      <c r="C176" t="s">
        <v>11</v>
      </c>
      <c r="D176" t="s">
        <v>16</v>
      </c>
      <c r="E176" t="s">
        <v>30</v>
      </c>
      <c r="F176">
        <v>115</v>
      </c>
      <c r="G176">
        <v>243455</v>
      </c>
      <c r="H176">
        <v>162143</v>
      </c>
      <c r="I176">
        <v>369</v>
      </c>
    </row>
    <row r="177" spans="1:9" x14ac:dyDescent="0.35">
      <c r="A177" t="s">
        <v>51</v>
      </c>
      <c r="B177" t="s">
        <v>24</v>
      </c>
      <c r="C177" t="s">
        <v>11</v>
      </c>
      <c r="D177" t="s">
        <v>12</v>
      </c>
      <c r="E177" t="s">
        <v>17</v>
      </c>
      <c r="F177">
        <v>184</v>
      </c>
      <c r="G177">
        <v>296976</v>
      </c>
      <c r="H177">
        <v>232759</v>
      </c>
      <c r="I177">
        <v>667</v>
      </c>
    </row>
    <row r="178" spans="1:9" x14ac:dyDescent="0.35">
      <c r="A178" t="s">
        <v>18</v>
      </c>
      <c r="B178" t="s">
        <v>24</v>
      </c>
      <c r="C178" t="s">
        <v>11</v>
      </c>
      <c r="D178" t="s">
        <v>16</v>
      </c>
      <c r="E178" t="s">
        <v>17</v>
      </c>
      <c r="F178">
        <v>50</v>
      </c>
      <c r="G178">
        <v>124500</v>
      </c>
      <c r="H178">
        <v>103941</v>
      </c>
      <c r="I178">
        <v>931</v>
      </c>
    </row>
    <row r="179" spans="1:9" x14ac:dyDescent="0.35">
      <c r="A179" t="s">
        <v>72</v>
      </c>
      <c r="B179" t="s">
        <v>10</v>
      </c>
      <c r="C179" t="s">
        <v>11</v>
      </c>
      <c r="D179" t="s">
        <v>16</v>
      </c>
      <c r="E179" t="s">
        <v>17</v>
      </c>
      <c r="F179">
        <v>81</v>
      </c>
      <c r="G179">
        <v>194238</v>
      </c>
      <c r="H179">
        <v>127306</v>
      </c>
      <c r="I179">
        <v>783</v>
      </c>
    </row>
    <row r="180" spans="1:9" x14ac:dyDescent="0.35">
      <c r="A180" t="s">
        <v>78</v>
      </c>
      <c r="B180" t="s">
        <v>24</v>
      </c>
      <c r="C180" t="s">
        <v>11</v>
      </c>
      <c r="D180" t="s">
        <v>20</v>
      </c>
      <c r="E180" t="s">
        <v>17</v>
      </c>
      <c r="F180">
        <v>146</v>
      </c>
      <c r="G180">
        <v>231410</v>
      </c>
      <c r="H180">
        <v>170188</v>
      </c>
      <c r="I180">
        <v>976</v>
      </c>
    </row>
    <row r="181" spans="1:9" x14ac:dyDescent="0.35">
      <c r="A181" t="s">
        <v>58</v>
      </c>
      <c r="B181" t="s">
        <v>10</v>
      </c>
      <c r="C181" t="s">
        <v>11</v>
      </c>
      <c r="D181" t="s">
        <v>20</v>
      </c>
      <c r="E181" t="s">
        <v>13</v>
      </c>
      <c r="F181">
        <v>67</v>
      </c>
      <c r="G181">
        <v>142710</v>
      </c>
      <c r="H181">
        <v>93756</v>
      </c>
      <c r="I181">
        <v>943</v>
      </c>
    </row>
    <row r="182" spans="1:9" x14ac:dyDescent="0.35">
      <c r="A182" t="s">
        <v>55</v>
      </c>
      <c r="B182" t="s">
        <v>24</v>
      </c>
      <c r="C182" t="s">
        <v>11</v>
      </c>
      <c r="D182" t="s">
        <v>29</v>
      </c>
      <c r="E182" t="s">
        <v>17</v>
      </c>
      <c r="F182">
        <v>111</v>
      </c>
      <c r="G182">
        <v>187035</v>
      </c>
      <c r="H182">
        <v>151588</v>
      </c>
      <c r="I182">
        <v>608</v>
      </c>
    </row>
    <row r="183" spans="1:9" x14ac:dyDescent="0.35">
      <c r="A183" t="s">
        <v>28</v>
      </c>
      <c r="B183" t="s">
        <v>19</v>
      </c>
      <c r="C183" t="s">
        <v>11</v>
      </c>
      <c r="D183" t="s">
        <v>16</v>
      </c>
      <c r="E183" t="s">
        <v>17</v>
      </c>
      <c r="F183">
        <v>81</v>
      </c>
      <c r="G183">
        <v>161757</v>
      </c>
      <c r="H183">
        <v>114628</v>
      </c>
      <c r="I183">
        <v>252</v>
      </c>
    </row>
    <row r="184" spans="1:9" x14ac:dyDescent="0.35">
      <c r="A184" t="s">
        <v>79</v>
      </c>
      <c r="B184" t="s">
        <v>15</v>
      </c>
      <c r="C184" t="s">
        <v>11</v>
      </c>
      <c r="D184" t="s">
        <v>16</v>
      </c>
      <c r="E184" t="s">
        <v>30</v>
      </c>
      <c r="F184">
        <v>146</v>
      </c>
      <c r="G184">
        <v>312878</v>
      </c>
      <c r="H184">
        <v>194792</v>
      </c>
      <c r="I184">
        <v>615</v>
      </c>
    </row>
    <row r="185" spans="1:9" x14ac:dyDescent="0.35">
      <c r="A185" t="s">
        <v>79</v>
      </c>
      <c r="B185" t="s">
        <v>22</v>
      </c>
      <c r="C185" t="s">
        <v>11</v>
      </c>
      <c r="D185" t="s">
        <v>16</v>
      </c>
      <c r="E185" t="s">
        <v>13</v>
      </c>
      <c r="F185">
        <v>55</v>
      </c>
      <c r="G185">
        <v>127435</v>
      </c>
      <c r="H185">
        <v>104185</v>
      </c>
      <c r="I185">
        <v>723</v>
      </c>
    </row>
    <row r="186" spans="1:9" x14ac:dyDescent="0.35">
      <c r="A186" t="s">
        <v>26</v>
      </c>
      <c r="B186" t="s">
        <v>10</v>
      </c>
      <c r="C186" t="s">
        <v>11</v>
      </c>
      <c r="D186" t="s">
        <v>20</v>
      </c>
      <c r="E186" t="s">
        <v>17</v>
      </c>
      <c r="F186">
        <v>182</v>
      </c>
      <c r="G186">
        <v>355628</v>
      </c>
      <c r="H186">
        <v>248859</v>
      </c>
      <c r="I186">
        <v>975</v>
      </c>
    </row>
    <row r="187" spans="1:9" x14ac:dyDescent="0.35">
      <c r="A187" t="s">
        <v>14</v>
      </c>
      <c r="B187" t="s">
        <v>15</v>
      </c>
      <c r="C187" t="s">
        <v>11</v>
      </c>
      <c r="D187" t="s">
        <v>29</v>
      </c>
      <c r="E187" t="s">
        <v>17</v>
      </c>
      <c r="F187">
        <v>116</v>
      </c>
      <c r="G187">
        <v>226780</v>
      </c>
      <c r="H187">
        <v>151451</v>
      </c>
      <c r="I187">
        <v>743</v>
      </c>
    </row>
    <row r="188" spans="1:9" x14ac:dyDescent="0.35">
      <c r="A188" t="s">
        <v>64</v>
      </c>
      <c r="B188" t="s">
        <v>22</v>
      </c>
      <c r="C188" t="s">
        <v>11</v>
      </c>
      <c r="D188" t="s">
        <v>20</v>
      </c>
      <c r="E188" t="s">
        <v>30</v>
      </c>
      <c r="F188">
        <v>132</v>
      </c>
      <c r="G188">
        <v>237996</v>
      </c>
      <c r="H188">
        <v>200363</v>
      </c>
      <c r="I188">
        <v>264</v>
      </c>
    </row>
    <row r="189" spans="1:9" x14ac:dyDescent="0.35">
      <c r="A189" t="s">
        <v>80</v>
      </c>
      <c r="B189" t="s">
        <v>15</v>
      </c>
      <c r="C189" t="s">
        <v>11</v>
      </c>
      <c r="D189" t="s">
        <v>12</v>
      </c>
      <c r="E189" t="s">
        <v>13</v>
      </c>
      <c r="F189">
        <v>133</v>
      </c>
      <c r="G189">
        <v>253099</v>
      </c>
      <c r="H189">
        <v>196819</v>
      </c>
      <c r="I189">
        <v>402</v>
      </c>
    </row>
    <row r="190" spans="1:9" x14ac:dyDescent="0.35">
      <c r="A190" t="s">
        <v>57</v>
      </c>
      <c r="B190" t="s">
        <v>24</v>
      </c>
      <c r="C190" t="s">
        <v>11</v>
      </c>
      <c r="D190" t="s">
        <v>20</v>
      </c>
      <c r="E190" t="s">
        <v>13</v>
      </c>
      <c r="F190">
        <v>65</v>
      </c>
      <c r="G190">
        <v>132795</v>
      </c>
      <c r="H190">
        <v>110989</v>
      </c>
      <c r="I190">
        <v>497</v>
      </c>
    </row>
    <row r="191" spans="1:9" x14ac:dyDescent="0.35">
      <c r="A191" t="s">
        <v>81</v>
      </c>
      <c r="B191" t="s">
        <v>24</v>
      </c>
      <c r="C191" t="s">
        <v>11</v>
      </c>
      <c r="D191" t="s">
        <v>20</v>
      </c>
      <c r="E191" t="s">
        <v>17</v>
      </c>
      <c r="F191">
        <v>181</v>
      </c>
      <c r="G191">
        <v>432952</v>
      </c>
      <c r="H191">
        <v>304125</v>
      </c>
      <c r="I191">
        <v>443</v>
      </c>
    </row>
    <row r="192" spans="1:9" x14ac:dyDescent="0.35">
      <c r="A192" t="s">
        <v>33</v>
      </c>
      <c r="B192" t="s">
        <v>22</v>
      </c>
      <c r="C192" t="s">
        <v>11</v>
      </c>
      <c r="D192" t="s">
        <v>16</v>
      </c>
      <c r="E192" t="s">
        <v>17</v>
      </c>
      <c r="F192">
        <v>119</v>
      </c>
      <c r="G192">
        <v>208726</v>
      </c>
      <c r="H192">
        <v>151224</v>
      </c>
      <c r="I192">
        <v>924</v>
      </c>
    </row>
    <row r="193" spans="1:9" x14ac:dyDescent="0.35">
      <c r="A193" t="s">
        <v>53</v>
      </c>
      <c r="B193" t="s">
        <v>10</v>
      </c>
      <c r="C193" t="s">
        <v>11</v>
      </c>
      <c r="D193" t="s">
        <v>12</v>
      </c>
      <c r="E193" t="s">
        <v>30</v>
      </c>
      <c r="F193">
        <v>91</v>
      </c>
      <c r="G193">
        <v>225589</v>
      </c>
      <c r="H193">
        <v>154980</v>
      </c>
      <c r="I193">
        <v>237</v>
      </c>
    </row>
    <row r="194" spans="1:9" x14ac:dyDescent="0.35">
      <c r="A194" t="s">
        <v>52</v>
      </c>
      <c r="B194" t="s">
        <v>42</v>
      </c>
      <c r="C194" t="s">
        <v>11</v>
      </c>
      <c r="D194" t="s">
        <v>29</v>
      </c>
      <c r="E194" t="s">
        <v>13</v>
      </c>
      <c r="F194">
        <v>89</v>
      </c>
      <c r="G194">
        <v>139552</v>
      </c>
      <c r="H194">
        <v>89323</v>
      </c>
      <c r="I194">
        <v>906</v>
      </c>
    </row>
    <row r="195" spans="1:9" x14ac:dyDescent="0.35">
      <c r="A195" t="s">
        <v>65</v>
      </c>
      <c r="B195" t="s">
        <v>24</v>
      </c>
      <c r="C195" t="s">
        <v>11</v>
      </c>
      <c r="D195" t="s">
        <v>12</v>
      </c>
      <c r="E195" t="s">
        <v>30</v>
      </c>
      <c r="F195">
        <v>153</v>
      </c>
      <c r="G195">
        <v>364446</v>
      </c>
      <c r="H195">
        <v>295655</v>
      </c>
      <c r="I195">
        <v>836</v>
      </c>
    </row>
    <row r="196" spans="1:9" x14ac:dyDescent="0.35">
      <c r="A196" t="s">
        <v>82</v>
      </c>
      <c r="B196" t="s">
        <v>24</v>
      </c>
      <c r="C196" t="s">
        <v>11</v>
      </c>
      <c r="D196" t="s">
        <v>29</v>
      </c>
      <c r="E196" t="s">
        <v>17</v>
      </c>
      <c r="F196">
        <v>146</v>
      </c>
      <c r="G196">
        <v>305286</v>
      </c>
      <c r="H196">
        <v>230150</v>
      </c>
      <c r="I196">
        <v>991</v>
      </c>
    </row>
    <row r="197" spans="1:9" x14ac:dyDescent="0.35">
      <c r="A197" t="s">
        <v>33</v>
      </c>
      <c r="B197" t="s">
        <v>10</v>
      </c>
      <c r="C197" t="s">
        <v>11</v>
      </c>
      <c r="D197" t="s">
        <v>16</v>
      </c>
      <c r="E197" t="s">
        <v>30</v>
      </c>
      <c r="F197">
        <v>110</v>
      </c>
      <c r="G197">
        <v>195580</v>
      </c>
      <c r="H197">
        <v>122067</v>
      </c>
      <c r="I197">
        <v>434</v>
      </c>
    </row>
    <row r="198" spans="1:9" x14ac:dyDescent="0.35">
      <c r="A198" t="s">
        <v>54</v>
      </c>
      <c r="B198" t="s">
        <v>24</v>
      </c>
      <c r="C198" t="s">
        <v>11</v>
      </c>
      <c r="D198" t="s">
        <v>29</v>
      </c>
      <c r="E198" t="s">
        <v>30</v>
      </c>
      <c r="F198">
        <v>88</v>
      </c>
      <c r="G198">
        <v>159368</v>
      </c>
      <c r="H198">
        <v>113303</v>
      </c>
      <c r="I198">
        <v>287</v>
      </c>
    </row>
    <row r="199" spans="1:9" x14ac:dyDescent="0.35">
      <c r="A199" t="s">
        <v>72</v>
      </c>
      <c r="B199" t="s">
        <v>19</v>
      </c>
      <c r="C199" t="s">
        <v>11</v>
      </c>
      <c r="D199" t="s">
        <v>12</v>
      </c>
      <c r="E199" t="s">
        <v>13</v>
      </c>
      <c r="F199">
        <v>78</v>
      </c>
      <c r="G199">
        <v>128232</v>
      </c>
      <c r="H199">
        <v>89238</v>
      </c>
      <c r="I199">
        <v>589</v>
      </c>
    </row>
    <row r="200" spans="1:9" x14ac:dyDescent="0.35">
      <c r="A200" t="s">
        <v>82</v>
      </c>
      <c r="B200" t="s">
        <v>15</v>
      </c>
      <c r="C200" t="s">
        <v>11</v>
      </c>
      <c r="D200" t="s">
        <v>16</v>
      </c>
      <c r="E200" t="s">
        <v>17</v>
      </c>
      <c r="F200">
        <v>136</v>
      </c>
      <c r="G200">
        <v>280160</v>
      </c>
      <c r="H200">
        <v>226126</v>
      </c>
      <c r="I200">
        <v>287</v>
      </c>
    </row>
    <row r="201" spans="1:9" x14ac:dyDescent="0.35">
      <c r="A201" t="s">
        <v>45</v>
      </c>
      <c r="B201" t="s">
        <v>42</v>
      </c>
      <c r="C201" t="s">
        <v>11</v>
      </c>
      <c r="D201" t="s">
        <v>16</v>
      </c>
      <c r="E201" t="s">
        <v>13</v>
      </c>
      <c r="F201">
        <v>157</v>
      </c>
      <c r="G201">
        <v>328130</v>
      </c>
      <c r="H201">
        <v>258084</v>
      </c>
      <c r="I201">
        <v>843</v>
      </c>
    </row>
    <row r="202" spans="1:9" x14ac:dyDescent="0.35">
      <c r="A202" t="s">
        <v>52</v>
      </c>
      <c r="B202" t="s">
        <v>19</v>
      </c>
      <c r="C202" t="s">
        <v>11</v>
      </c>
      <c r="D202" t="s">
        <v>29</v>
      </c>
      <c r="E202" t="s">
        <v>30</v>
      </c>
      <c r="F202">
        <v>130</v>
      </c>
      <c r="G202">
        <v>250770</v>
      </c>
      <c r="H202">
        <v>156358</v>
      </c>
      <c r="I202">
        <v>606</v>
      </c>
    </row>
    <row r="203" spans="1:9" x14ac:dyDescent="0.35">
      <c r="A203" t="s">
        <v>75</v>
      </c>
      <c r="B203" t="s">
        <v>10</v>
      </c>
      <c r="C203" t="s">
        <v>11</v>
      </c>
      <c r="D203" t="s">
        <v>12</v>
      </c>
      <c r="E203" t="s">
        <v>17</v>
      </c>
      <c r="F203">
        <v>169</v>
      </c>
      <c r="G203">
        <v>387517</v>
      </c>
      <c r="H203">
        <v>234375</v>
      </c>
      <c r="I203">
        <v>291</v>
      </c>
    </row>
    <row r="204" spans="1:9" x14ac:dyDescent="0.35">
      <c r="A204" t="s">
        <v>61</v>
      </c>
      <c r="B204" t="s">
        <v>22</v>
      </c>
      <c r="C204" t="s">
        <v>11</v>
      </c>
      <c r="D204" t="s">
        <v>12</v>
      </c>
      <c r="E204" t="s">
        <v>17</v>
      </c>
      <c r="F204">
        <v>160</v>
      </c>
      <c r="G204">
        <v>340480</v>
      </c>
      <c r="H204">
        <v>208449</v>
      </c>
      <c r="I204">
        <v>333</v>
      </c>
    </row>
    <row r="205" spans="1:9" x14ac:dyDescent="0.35">
      <c r="A205" t="s">
        <v>51</v>
      </c>
      <c r="B205" t="s">
        <v>10</v>
      </c>
      <c r="C205" t="s">
        <v>11</v>
      </c>
      <c r="D205" t="s">
        <v>16</v>
      </c>
      <c r="E205" t="s">
        <v>30</v>
      </c>
      <c r="F205">
        <v>94</v>
      </c>
      <c r="G205">
        <v>230864</v>
      </c>
      <c r="H205">
        <v>182346</v>
      </c>
      <c r="I205">
        <v>512</v>
      </c>
    </row>
    <row r="206" spans="1:9" x14ac:dyDescent="0.35">
      <c r="A206" t="s">
        <v>25</v>
      </c>
      <c r="B206" t="s">
        <v>19</v>
      </c>
      <c r="C206" t="s">
        <v>11</v>
      </c>
      <c r="D206" t="s">
        <v>16</v>
      </c>
      <c r="E206" t="s">
        <v>13</v>
      </c>
      <c r="F206">
        <v>100</v>
      </c>
      <c r="G206">
        <v>156300</v>
      </c>
      <c r="H206">
        <v>99100</v>
      </c>
      <c r="I206">
        <v>242</v>
      </c>
    </row>
    <row r="207" spans="1:9" x14ac:dyDescent="0.35">
      <c r="A207" t="s">
        <v>75</v>
      </c>
      <c r="B207" t="s">
        <v>22</v>
      </c>
      <c r="C207" t="s">
        <v>11</v>
      </c>
      <c r="D207" t="s">
        <v>29</v>
      </c>
      <c r="E207" t="s">
        <v>30</v>
      </c>
      <c r="F207">
        <v>161</v>
      </c>
      <c r="G207">
        <v>375452</v>
      </c>
      <c r="H207">
        <v>316538</v>
      </c>
      <c r="I207">
        <v>578</v>
      </c>
    </row>
    <row r="208" spans="1:9" x14ac:dyDescent="0.35">
      <c r="A208" t="s">
        <v>40</v>
      </c>
      <c r="B208" t="s">
        <v>19</v>
      </c>
      <c r="C208" t="s">
        <v>11</v>
      </c>
      <c r="D208" t="s">
        <v>29</v>
      </c>
      <c r="E208" t="s">
        <v>30</v>
      </c>
      <c r="F208">
        <v>137</v>
      </c>
      <c r="G208">
        <v>269890</v>
      </c>
      <c r="H208">
        <v>172746</v>
      </c>
      <c r="I208">
        <v>508</v>
      </c>
    </row>
    <row r="209" spans="1:9" x14ac:dyDescent="0.35">
      <c r="A209" t="s">
        <v>48</v>
      </c>
      <c r="B209" t="s">
        <v>24</v>
      </c>
      <c r="C209" t="s">
        <v>11</v>
      </c>
      <c r="D209" t="s">
        <v>20</v>
      </c>
      <c r="E209" t="s">
        <v>30</v>
      </c>
      <c r="F209">
        <v>116</v>
      </c>
      <c r="G209">
        <v>174000</v>
      </c>
      <c r="H209">
        <v>111669</v>
      </c>
      <c r="I209">
        <v>943</v>
      </c>
    </row>
    <row r="210" spans="1:9" x14ac:dyDescent="0.35">
      <c r="A210" t="s">
        <v>51</v>
      </c>
      <c r="B210" t="s">
        <v>19</v>
      </c>
      <c r="C210" t="s">
        <v>11</v>
      </c>
      <c r="D210" t="s">
        <v>16</v>
      </c>
      <c r="E210" t="s">
        <v>30</v>
      </c>
      <c r="F210">
        <v>179</v>
      </c>
      <c r="G210">
        <v>362475</v>
      </c>
      <c r="H210">
        <v>243098</v>
      </c>
      <c r="I210">
        <v>288</v>
      </c>
    </row>
    <row r="211" spans="1:9" x14ac:dyDescent="0.35">
      <c r="A211" t="s">
        <v>67</v>
      </c>
      <c r="B211" t="s">
        <v>19</v>
      </c>
      <c r="C211" t="s">
        <v>11</v>
      </c>
      <c r="D211" t="s">
        <v>29</v>
      </c>
      <c r="E211" t="s">
        <v>30</v>
      </c>
      <c r="F211">
        <v>83</v>
      </c>
      <c r="G211">
        <v>194801</v>
      </c>
      <c r="H211">
        <v>163136</v>
      </c>
      <c r="I211">
        <v>822</v>
      </c>
    </row>
    <row r="212" spans="1:9" x14ac:dyDescent="0.35">
      <c r="A212" t="s">
        <v>28</v>
      </c>
      <c r="B212" t="s">
        <v>10</v>
      </c>
      <c r="C212" t="s">
        <v>11</v>
      </c>
      <c r="D212" t="s">
        <v>16</v>
      </c>
      <c r="E212" t="s">
        <v>17</v>
      </c>
      <c r="F212">
        <v>199</v>
      </c>
      <c r="G212">
        <v>416706</v>
      </c>
      <c r="H212">
        <v>320165</v>
      </c>
      <c r="I212">
        <v>677</v>
      </c>
    </row>
    <row r="213" spans="1:9" x14ac:dyDescent="0.35">
      <c r="A213" t="s">
        <v>71</v>
      </c>
      <c r="B213" t="s">
        <v>22</v>
      </c>
      <c r="C213" t="s">
        <v>11</v>
      </c>
      <c r="D213" t="s">
        <v>29</v>
      </c>
      <c r="E213" t="s">
        <v>13</v>
      </c>
      <c r="F213">
        <v>93</v>
      </c>
      <c r="G213">
        <v>184884</v>
      </c>
      <c r="H213">
        <v>121909</v>
      </c>
      <c r="I213">
        <v>980</v>
      </c>
    </row>
    <row r="214" spans="1:9" x14ac:dyDescent="0.35">
      <c r="A214" t="s">
        <v>45</v>
      </c>
      <c r="B214" t="s">
        <v>22</v>
      </c>
      <c r="C214" t="s">
        <v>11</v>
      </c>
      <c r="D214" t="s">
        <v>16</v>
      </c>
      <c r="E214" t="s">
        <v>17</v>
      </c>
      <c r="F214">
        <v>187</v>
      </c>
      <c r="G214">
        <v>402798</v>
      </c>
      <c r="H214">
        <v>282478</v>
      </c>
      <c r="I214">
        <v>543</v>
      </c>
    </row>
    <row r="215" spans="1:9" x14ac:dyDescent="0.35">
      <c r="A215" t="s">
        <v>45</v>
      </c>
      <c r="B215" t="s">
        <v>15</v>
      </c>
      <c r="C215" t="s">
        <v>11</v>
      </c>
      <c r="D215" t="s">
        <v>20</v>
      </c>
      <c r="E215" t="s">
        <v>13</v>
      </c>
      <c r="F215">
        <v>114</v>
      </c>
      <c r="G215">
        <v>194142</v>
      </c>
      <c r="H215">
        <v>134585</v>
      </c>
      <c r="I215">
        <v>722</v>
      </c>
    </row>
    <row r="216" spans="1:9" x14ac:dyDescent="0.35">
      <c r="A216" t="s">
        <v>73</v>
      </c>
      <c r="B216" t="s">
        <v>42</v>
      </c>
      <c r="C216" t="s">
        <v>11</v>
      </c>
      <c r="D216" t="s">
        <v>12</v>
      </c>
      <c r="E216" t="s">
        <v>13</v>
      </c>
      <c r="F216">
        <v>77</v>
      </c>
      <c r="G216">
        <v>129129</v>
      </c>
      <c r="H216">
        <v>82352</v>
      </c>
      <c r="I216">
        <v>872</v>
      </c>
    </row>
    <row r="217" spans="1:9" x14ac:dyDescent="0.35">
      <c r="A217" t="s">
        <v>75</v>
      </c>
      <c r="B217" t="s">
        <v>10</v>
      </c>
      <c r="C217" t="s">
        <v>11</v>
      </c>
      <c r="D217" t="s">
        <v>12</v>
      </c>
      <c r="E217" t="s">
        <v>30</v>
      </c>
      <c r="F217">
        <v>108</v>
      </c>
      <c r="G217">
        <v>194292</v>
      </c>
      <c r="H217">
        <v>138233</v>
      </c>
      <c r="I217">
        <v>416</v>
      </c>
    </row>
    <row r="218" spans="1:9" x14ac:dyDescent="0.35">
      <c r="A218" t="s">
        <v>60</v>
      </c>
      <c r="B218" t="s">
        <v>10</v>
      </c>
      <c r="C218" t="s">
        <v>11</v>
      </c>
      <c r="D218" t="s">
        <v>12</v>
      </c>
      <c r="E218" t="s">
        <v>13</v>
      </c>
      <c r="F218">
        <v>155</v>
      </c>
      <c r="G218">
        <v>370295</v>
      </c>
      <c r="H218">
        <v>264131</v>
      </c>
      <c r="I218">
        <v>581</v>
      </c>
    </row>
    <row r="219" spans="1:9" x14ac:dyDescent="0.35">
      <c r="A219" t="s">
        <v>56</v>
      </c>
      <c r="B219" t="s">
        <v>24</v>
      </c>
      <c r="C219" t="s">
        <v>11</v>
      </c>
      <c r="D219" t="s">
        <v>16</v>
      </c>
      <c r="E219" t="s">
        <v>17</v>
      </c>
      <c r="F219">
        <v>117</v>
      </c>
      <c r="G219">
        <v>217971</v>
      </c>
      <c r="H219">
        <v>157387</v>
      </c>
      <c r="I219">
        <v>677</v>
      </c>
    </row>
    <row r="220" spans="1:9" x14ac:dyDescent="0.35">
      <c r="A220" t="s">
        <v>40</v>
      </c>
      <c r="B220" t="s">
        <v>42</v>
      </c>
      <c r="C220" t="s">
        <v>11</v>
      </c>
      <c r="D220" t="s">
        <v>16</v>
      </c>
      <c r="E220" t="s">
        <v>30</v>
      </c>
      <c r="F220">
        <v>178</v>
      </c>
      <c r="G220">
        <v>366502</v>
      </c>
      <c r="H220">
        <v>230960</v>
      </c>
      <c r="I220">
        <v>216</v>
      </c>
    </row>
    <row r="221" spans="1:9" x14ac:dyDescent="0.35">
      <c r="A221" t="s">
        <v>31</v>
      </c>
      <c r="B221" t="s">
        <v>19</v>
      </c>
      <c r="C221" t="s">
        <v>11</v>
      </c>
      <c r="D221" t="s">
        <v>12</v>
      </c>
      <c r="E221" t="s">
        <v>13</v>
      </c>
      <c r="F221">
        <v>121</v>
      </c>
      <c r="G221">
        <v>265353</v>
      </c>
      <c r="H221">
        <v>215973</v>
      </c>
      <c r="I221">
        <v>877</v>
      </c>
    </row>
    <row r="222" spans="1:9" x14ac:dyDescent="0.35">
      <c r="A222" t="s">
        <v>83</v>
      </c>
      <c r="B222" t="s">
        <v>15</v>
      </c>
      <c r="C222" t="s">
        <v>11</v>
      </c>
      <c r="D222" t="s">
        <v>29</v>
      </c>
      <c r="E222" t="s">
        <v>13</v>
      </c>
      <c r="F222">
        <v>194</v>
      </c>
      <c r="G222">
        <v>401580</v>
      </c>
      <c r="H222">
        <v>309169</v>
      </c>
      <c r="I222">
        <v>526</v>
      </c>
    </row>
    <row r="223" spans="1:9" x14ac:dyDescent="0.35">
      <c r="A223" t="s">
        <v>67</v>
      </c>
      <c r="B223" t="s">
        <v>10</v>
      </c>
      <c r="C223" t="s">
        <v>11</v>
      </c>
      <c r="D223" t="s">
        <v>12</v>
      </c>
      <c r="E223" t="s">
        <v>30</v>
      </c>
      <c r="F223">
        <v>78</v>
      </c>
      <c r="G223">
        <v>151320</v>
      </c>
      <c r="H223">
        <v>92108</v>
      </c>
      <c r="I223">
        <v>292</v>
      </c>
    </row>
    <row r="224" spans="1:9" x14ac:dyDescent="0.35">
      <c r="A224" t="s">
        <v>43</v>
      </c>
      <c r="B224" t="s">
        <v>19</v>
      </c>
      <c r="C224" t="s">
        <v>11</v>
      </c>
      <c r="D224" t="s">
        <v>12</v>
      </c>
      <c r="E224" t="s">
        <v>30</v>
      </c>
      <c r="F224">
        <v>144</v>
      </c>
      <c r="G224">
        <v>348048</v>
      </c>
      <c r="H224">
        <v>222252</v>
      </c>
      <c r="I224">
        <v>841</v>
      </c>
    </row>
    <row r="225" spans="1:9" x14ac:dyDescent="0.35">
      <c r="A225" t="s">
        <v>28</v>
      </c>
      <c r="B225" t="s">
        <v>19</v>
      </c>
      <c r="C225" t="s">
        <v>11</v>
      </c>
      <c r="D225" t="s">
        <v>16</v>
      </c>
      <c r="E225" t="s">
        <v>13</v>
      </c>
      <c r="F225">
        <v>51</v>
      </c>
      <c r="G225">
        <v>94350</v>
      </c>
      <c r="H225">
        <v>60016</v>
      </c>
      <c r="I225">
        <v>321</v>
      </c>
    </row>
    <row r="226" spans="1:9" x14ac:dyDescent="0.35">
      <c r="A226" t="s">
        <v>26</v>
      </c>
      <c r="B226" t="s">
        <v>24</v>
      </c>
      <c r="C226" t="s">
        <v>11</v>
      </c>
      <c r="D226" t="s">
        <v>29</v>
      </c>
      <c r="E226" t="s">
        <v>30</v>
      </c>
      <c r="F226">
        <v>126</v>
      </c>
      <c r="G226">
        <v>216972</v>
      </c>
      <c r="H226">
        <v>169219</v>
      </c>
      <c r="I226">
        <v>602</v>
      </c>
    </row>
    <row r="227" spans="1:9" x14ac:dyDescent="0.35">
      <c r="A227" t="s">
        <v>81</v>
      </c>
      <c r="B227" t="s">
        <v>24</v>
      </c>
      <c r="C227" t="s">
        <v>11</v>
      </c>
      <c r="D227" t="s">
        <v>20</v>
      </c>
      <c r="E227" t="s">
        <v>30</v>
      </c>
      <c r="F227">
        <v>107</v>
      </c>
      <c r="G227">
        <v>217210</v>
      </c>
      <c r="H227">
        <v>141076</v>
      </c>
      <c r="I227">
        <v>843</v>
      </c>
    </row>
    <row r="228" spans="1:9" x14ac:dyDescent="0.35">
      <c r="A228" t="s">
        <v>26</v>
      </c>
      <c r="B228" t="s">
        <v>24</v>
      </c>
      <c r="C228" t="s">
        <v>11</v>
      </c>
      <c r="D228" t="s">
        <v>20</v>
      </c>
      <c r="E228" t="s">
        <v>30</v>
      </c>
      <c r="F228">
        <v>175</v>
      </c>
      <c r="G228">
        <v>339675</v>
      </c>
      <c r="H228">
        <v>263981</v>
      </c>
      <c r="I228">
        <v>254</v>
      </c>
    </row>
    <row r="229" spans="1:9" x14ac:dyDescent="0.35">
      <c r="A229" t="s">
        <v>44</v>
      </c>
      <c r="B229" t="s">
        <v>10</v>
      </c>
      <c r="C229" t="s">
        <v>11</v>
      </c>
      <c r="D229" t="s">
        <v>16</v>
      </c>
      <c r="E229" t="s">
        <v>13</v>
      </c>
      <c r="F229">
        <v>182</v>
      </c>
      <c r="G229">
        <v>452998</v>
      </c>
      <c r="H229">
        <v>322721</v>
      </c>
      <c r="I229">
        <v>656</v>
      </c>
    </row>
    <row r="230" spans="1:9" x14ac:dyDescent="0.35">
      <c r="A230" t="s">
        <v>31</v>
      </c>
      <c r="B230" t="s">
        <v>15</v>
      </c>
      <c r="C230" t="s">
        <v>11</v>
      </c>
      <c r="D230" t="s">
        <v>29</v>
      </c>
      <c r="E230" t="s">
        <v>17</v>
      </c>
      <c r="F230">
        <v>151</v>
      </c>
      <c r="G230">
        <v>368138</v>
      </c>
      <c r="H230">
        <v>296822</v>
      </c>
      <c r="I230">
        <v>686</v>
      </c>
    </row>
    <row r="231" spans="1:9" x14ac:dyDescent="0.35">
      <c r="A231" t="s">
        <v>9</v>
      </c>
      <c r="B231" t="s">
        <v>15</v>
      </c>
      <c r="C231" t="s">
        <v>11</v>
      </c>
      <c r="D231" t="s">
        <v>16</v>
      </c>
      <c r="E231" t="s">
        <v>13</v>
      </c>
      <c r="F231">
        <v>93</v>
      </c>
      <c r="G231">
        <v>229710</v>
      </c>
      <c r="H231">
        <v>156449</v>
      </c>
      <c r="I231">
        <v>577</v>
      </c>
    </row>
    <row r="232" spans="1:9" x14ac:dyDescent="0.35">
      <c r="A232" t="s">
        <v>64</v>
      </c>
      <c r="B232" t="s">
        <v>24</v>
      </c>
      <c r="C232" t="s">
        <v>11</v>
      </c>
      <c r="D232" t="s">
        <v>12</v>
      </c>
      <c r="E232" t="s">
        <v>17</v>
      </c>
      <c r="F232">
        <v>194</v>
      </c>
      <c r="G232">
        <v>389164</v>
      </c>
      <c r="H232">
        <v>290905</v>
      </c>
      <c r="I232">
        <v>498</v>
      </c>
    </row>
    <row r="233" spans="1:9" x14ac:dyDescent="0.35">
      <c r="A233" t="s">
        <v>62</v>
      </c>
      <c r="B233" t="s">
        <v>42</v>
      </c>
      <c r="C233" t="s">
        <v>11</v>
      </c>
      <c r="D233" t="s">
        <v>16</v>
      </c>
      <c r="E233" t="s">
        <v>17</v>
      </c>
      <c r="F233">
        <v>167</v>
      </c>
      <c r="G233">
        <v>381595</v>
      </c>
      <c r="H233">
        <v>286846</v>
      </c>
      <c r="I233">
        <v>360</v>
      </c>
    </row>
    <row r="234" spans="1:9" x14ac:dyDescent="0.35">
      <c r="A234" t="s">
        <v>66</v>
      </c>
      <c r="B234" t="s">
        <v>42</v>
      </c>
      <c r="C234" t="s">
        <v>11</v>
      </c>
      <c r="D234" t="s">
        <v>16</v>
      </c>
      <c r="E234" t="s">
        <v>13</v>
      </c>
      <c r="F234">
        <v>116</v>
      </c>
      <c r="G234">
        <v>177828</v>
      </c>
      <c r="H234">
        <v>122755</v>
      </c>
      <c r="I234">
        <v>731</v>
      </c>
    </row>
    <row r="235" spans="1:9" x14ac:dyDescent="0.35">
      <c r="A235" t="s">
        <v>58</v>
      </c>
      <c r="B235" t="s">
        <v>24</v>
      </c>
      <c r="C235" t="s">
        <v>11</v>
      </c>
      <c r="D235" t="s">
        <v>12</v>
      </c>
      <c r="E235" t="s">
        <v>30</v>
      </c>
      <c r="F235">
        <v>74</v>
      </c>
      <c r="G235">
        <v>172198</v>
      </c>
      <c r="H235">
        <v>143607</v>
      </c>
      <c r="I235">
        <v>756</v>
      </c>
    </row>
    <row r="236" spans="1:9" x14ac:dyDescent="0.35">
      <c r="A236" t="s">
        <v>69</v>
      </c>
      <c r="B236" t="s">
        <v>24</v>
      </c>
      <c r="C236" t="s">
        <v>11</v>
      </c>
      <c r="D236" t="s">
        <v>12</v>
      </c>
      <c r="E236" t="s">
        <v>13</v>
      </c>
      <c r="F236">
        <v>131</v>
      </c>
      <c r="G236">
        <v>233049</v>
      </c>
      <c r="H236">
        <v>146034</v>
      </c>
      <c r="I236">
        <v>916</v>
      </c>
    </row>
    <row r="237" spans="1:9" x14ac:dyDescent="0.35">
      <c r="A237" t="s">
        <v>81</v>
      </c>
      <c r="B237" t="s">
        <v>19</v>
      </c>
      <c r="C237" t="s">
        <v>11</v>
      </c>
      <c r="D237" t="s">
        <v>12</v>
      </c>
      <c r="E237" t="s">
        <v>17</v>
      </c>
      <c r="F237">
        <v>102</v>
      </c>
      <c r="G237">
        <v>201450</v>
      </c>
      <c r="H237">
        <v>139602</v>
      </c>
      <c r="I237">
        <v>643</v>
      </c>
    </row>
    <row r="238" spans="1:9" x14ac:dyDescent="0.35">
      <c r="A238" t="s">
        <v>46</v>
      </c>
      <c r="B238" t="s">
        <v>42</v>
      </c>
      <c r="C238" t="s">
        <v>11</v>
      </c>
      <c r="D238" t="s">
        <v>20</v>
      </c>
      <c r="E238" t="s">
        <v>17</v>
      </c>
      <c r="F238">
        <v>175</v>
      </c>
      <c r="G238">
        <v>407400</v>
      </c>
      <c r="H238">
        <v>310025</v>
      </c>
      <c r="I238">
        <v>948</v>
      </c>
    </row>
    <row r="239" spans="1:9" x14ac:dyDescent="0.35">
      <c r="A239" t="s">
        <v>83</v>
      </c>
      <c r="B239" t="s">
        <v>19</v>
      </c>
      <c r="C239" t="s">
        <v>11</v>
      </c>
      <c r="D239" t="s">
        <v>20</v>
      </c>
      <c r="E239" t="s">
        <v>13</v>
      </c>
      <c r="F239">
        <v>182</v>
      </c>
      <c r="G239">
        <v>337428</v>
      </c>
      <c r="H239">
        <v>216219</v>
      </c>
      <c r="I239">
        <v>645</v>
      </c>
    </row>
    <row r="240" spans="1:9" x14ac:dyDescent="0.35">
      <c r="A240" t="s">
        <v>79</v>
      </c>
      <c r="B240" t="s">
        <v>22</v>
      </c>
      <c r="C240" t="s">
        <v>11</v>
      </c>
      <c r="D240" t="s">
        <v>16</v>
      </c>
      <c r="E240" t="s">
        <v>17</v>
      </c>
      <c r="F240">
        <v>51</v>
      </c>
      <c r="G240">
        <v>85323</v>
      </c>
      <c r="H240">
        <v>59839</v>
      </c>
      <c r="I240">
        <v>836</v>
      </c>
    </row>
    <row r="241" spans="1:9" x14ac:dyDescent="0.35">
      <c r="A241" t="s">
        <v>65</v>
      </c>
      <c r="B241" t="s">
        <v>24</v>
      </c>
      <c r="C241" t="s">
        <v>11</v>
      </c>
      <c r="D241" t="s">
        <v>12</v>
      </c>
      <c r="E241" t="s">
        <v>30</v>
      </c>
      <c r="F241">
        <v>110</v>
      </c>
      <c r="G241">
        <v>184030</v>
      </c>
      <c r="H241">
        <v>134399</v>
      </c>
      <c r="I241">
        <v>667</v>
      </c>
    </row>
    <row r="242" spans="1:9" x14ac:dyDescent="0.35">
      <c r="A242" t="s">
        <v>76</v>
      </c>
      <c r="B242" t="s">
        <v>10</v>
      </c>
      <c r="C242" t="s">
        <v>11</v>
      </c>
      <c r="D242" t="s">
        <v>16</v>
      </c>
      <c r="E242" t="s">
        <v>30</v>
      </c>
      <c r="F242">
        <v>170</v>
      </c>
      <c r="G242">
        <v>411910</v>
      </c>
      <c r="H242">
        <v>300328</v>
      </c>
      <c r="I242">
        <v>804</v>
      </c>
    </row>
    <row r="243" spans="1:9" x14ac:dyDescent="0.35">
      <c r="A243" t="s">
        <v>66</v>
      </c>
      <c r="B243" t="s">
        <v>19</v>
      </c>
      <c r="C243" t="s">
        <v>11</v>
      </c>
      <c r="D243" t="s">
        <v>16</v>
      </c>
      <c r="E243" t="s">
        <v>30</v>
      </c>
      <c r="F243">
        <v>95</v>
      </c>
      <c r="G243">
        <v>156560</v>
      </c>
      <c r="H243">
        <v>105386</v>
      </c>
      <c r="I243">
        <v>382</v>
      </c>
    </row>
    <row r="244" spans="1:9" x14ac:dyDescent="0.35">
      <c r="A244" t="s">
        <v>41</v>
      </c>
      <c r="B244" t="s">
        <v>19</v>
      </c>
      <c r="C244" t="s">
        <v>11</v>
      </c>
      <c r="D244" t="s">
        <v>20</v>
      </c>
      <c r="E244" t="s">
        <v>13</v>
      </c>
      <c r="F244">
        <v>68</v>
      </c>
      <c r="G244">
        <v>164152</v>
      </c>
      <c r="H244">
        <v>125875</v>
      </c>
      <c r="I244">
        <v>713</v>
      </c>
    </row>
    <row r="245" spans="1:9" x14ac:dyDescent="0.35">
      <c r="A245" t="s">
        <v>33</v>
      </c>
      <c r="B245" t="s">
        <v>10</v>
      </c>
      <c r="C245" t="s">
        <v>11</v>
      </c>
      <c r="D245" t="s">
        <v>12</v>
      </c>
      <c r="E245" t="s">
        <v>13</v>
      </c>
      <c r="F245">
        <v>94</v>
      </c>
      <c r="G245">
        <v>145418</v>
      </c>
      <c r="H245">
        <v>104636</v>
      </c>
      <c r="I245">
        <v>947</v>
      </c>
    </row>
    <row r="246" spans="1:9" x14ac:dyDescent="0.35">
      <c r="A246" t="s">
        <v>39</v>
      </c>
      <c r="B246" t="s">
        <v>42</v>
      </c>
      <c r="C246" t="s">
        <v>11</v>
      </c>
      <c r="D246" t="s">
        <v>12</v>
      </c>
      <c r="E246" t="s">
        <v>17</v>
      </c>
      <c r="F246">
        <v>139</v>
      </c>
      <c r="G246">
        <v>340828</v>
      </c>
      <c r="H246">
        <v>209873</v>
      </c>
      <c r="I246">
        <v>265</v>
      </c>
    </row>
    <row r="247" spans="1:9" x14ac:dyDescent="0.35">
      <c r="A247" t="s">
        <v>58</v>
      </c>
      <c r="B247" t="s">
        <v>22</v>
      </c>
      <c r="C247" t="s">
        <v>11</v>
      </c>
      <c r="D247" t="s">
        <v>12</v>
      </c>
      <c r="E247" t="s">
        <v>17</v>
      </c>
      <c r="F247">
        <v>93</v>
      </c>
      <c r="G247">
        <v>172329</v>
      </c>
      <c r="H247">
        <v>119958</v>
      </c>
      <c r="I247">
        <v>354</v>
      </c>
    </row>
    <row r="248" spans="1:9" x14ac:dyDescent="0.35">
      <c r="A248" t="s">
        <v>51</v>
      </c>
      <c r="B248" t="s">
        <v>22</v>
      </c>
      <c r="C248" t="s">
        <v>11</v>
      </c>
      <c r="D248" t="s">
        <v>16</v>
      </c>
      <c r="E248" t="s">
        <v>13</v>
      </c>
      <c r="F248">
        <v>200</v>
      </c>
      <c r="G248">
        <v>314400</v>
      </c>
      <c r="H248">
        <v>256112</v>
      </c>
      <c r="I248">
        <v>389</v>
      </c>
    </row>
    <row r="249" spans="1:9" x14ac:dyDescent="0.35">
      <c r="A249" t="s">
        <v>64</v>
      </c>
      <c r="B249" t="s">
        <v>10</v>
      </c>
      <c r="C249" t="s">
        <v>11</v>
      </c>
      <c r="D249" t="s">
        <v>29</v>
      </c>
      <c r="E249" t="s">
        <v>13</v>
      </c>
      <c r="F249">
        <v>105</v>
      </c>
      <c r="G249">
        <v>185115</v>
      </c>
      <c r="H249">
        <v>116843</v>
      </c>
      <c r="I249">
        <v>895</v>
      </c>
    </row>
    <row r="250" spans="1:9" x14ac:dyDescent="0.35">
      <c r="A250" t="s">
        <v>64</v>
      </c>
      <c r="B250" t="s">
        <v>22</v>
      </c>
      <c r="C250" t="s">
        <v>11</v>
      </c>
      <c r="D250" t="s">
        <v>16</v>
      </c>
      <c r="E250" t="s">
        <v>17</v>
      </c>
      <c r="F250">
        <v>189</v>
      </c>
      <c r="G250">
        <v>440370</v>
      </c>
      <c r="H250">
        <v>287104</v>
      </c>
      <c r="I250">
        <v>258</v>
      </c>
    </row>
    <row r="251" spans="1:9" x14ac:dyDescent="0.35">
      <c r="A251" t="s">
        <v>82</v>
      </c>
      <c r="B251" t="s">
        <v>22</v>
      </c>
      <c r="C251" t="s">
        <v>11</v>
      </c>
      <c r="D251" t="s">
        <v>20</v>
      </c>
      <c r="E251" t="s">
        <v>30</v>
      </c>
      <c r="F251">
        <v>110</v>
      </c>
      <c r="G251">
        <v>272910</v>
      </c>
      <c r="H251">
        <v>177507</v>
      </c>
      <c r="I251">
        <v>635</v>
      </c>
    </row>
    <row r="252" spans="1:9" x14ac:dyDescent="0.35">
      <c r="A252" t="s">
        <v>38</v>
      </c>
      <c r="B252" t="s">
        <v>24</v>
      </c>
      <c r="C252" t="s">
        <v>11</v>
      </c>
      <c r="D252" t="s">
        <v>29</v>
      </c>
      <c r="E252" t="s">
        <v>17</v>
      </c>
      <c r="F252">
        <v>58</v>
      </c>
      <c r="G252">
        <v>90828</v>
      </c>
      <c r="H252">
        <v>71798</v>
      </c>
      <c r="I252">
        <v>818</v>
      </c>
    </row>
    <row r="253" spans="1:9" x14ac:dyDescent="0.35">
      <c r="A253" t="s">
        <v>82</v>
      </c>
      <c r="B253" t="s">
        <v>10</v>
      </c>
      <c r="C253" t="s">
        <v>11</v>
      </c>
      <c r="D253" t="s">
        <v>16</v>
      </c>
      <c r="E253" t="s">
        <v>13</v>
      </c>
      <c r="F253">
        <v>147</v>
      </c>
      <c r="G253">
        <v>325311</v>
      </c>
      <c r="H253">
        <v>253821</v>
      </c>
      <c r="I253">
        <v>416</v>
      </c>
    </row>
    <row r="254" spans="1:9" x14ac:dyDescent="0.35">
      <c r="A254" t="s">
        <v>21</v>
      </c>
      <c r="B254" t="s">
        <v>19</v>
      </c>
      <c r="C254" t="s">
        <v>11</v>
      </c>
      <c r="D254" t="s">
        <v>29</v>
      </c>
      <c r="E254" t="s">
        <v>30</v>
      </c>
      <c r="F254">
        <v>199</v>
      </c>
      <c r="G254">
        <v>397602</v>
      </c>
      <c r="H254">
        <v>310690</v>
      </c>
      <c r="I254">
        <v>742</v>
      </c>
    </row>
    <row r="255" spans="1:9" x14ac:dyDescent="0.35">
      <c r="A255" t="s">
        <v>74</v>
      </c>
      <c r="B255" t="s">
        <v>24</v>
      </c>
      <c r="C255" t="s">
        <v>11</v>
      </c>
      <c r="D255" t="s">
        <v>12</v>
      </c>
      <c r="E255" t="s">
        <v>13</v>
      </c>
      <c r="F255">
        <v>185</v>
      </c>
      <c r="G255">
        <v>409590</v>
      </c>
      <c r="H255">
        <v>282947</v>
      </c>
      <c r="I255">
        <v>500</v>
      </c>
    </row>
    <row r="256" spans="1:9" x14ac:dyDescent="0.35">
      <c r="A256" t="s">
        <v>31</v>
      </c>
      <c r="B256" t="s">
        <v>24</v>
      </c>
      <c r="C256" t="s">
        <v>11</v>
      </c>
      <c r="D256" t="s">
        <v>12</v>
      </c>
      <c r="E256" t="s">
        <v>17</v>
      </c>
      <c r="F256">
        <v>182</v>
      </c>
      <c r="G256">
        <v>407316</v>
      </c>
      <c r="H256">
        <v>336659</v>
      </c>
      <c r="I256">
        <v>888</v>
      </c>
    </row>
    <row r="257" spans="1:9" x14ac:dyDescent="0.35">
      <c r="A257" t="s">
        <v>76</v>
      </c>
      <c r="B257" t="s">
        <v>22</v>
      </c>
      <c r="C257" t="s">
        <v>11</v>
      </c>
      <c r="D257" t="s">
        <v>16</v>
      </c>
      <c r="E257" t="s">
        <v>17</v>
      </c>
      <c r="F257">
        <v>186</v>
      </c>
      <c r="G257">
        <v>375906</v>
      </c>
      <c r="H257">
        <v>285339</v>
      </c>
      <c r="I257">
        <v>676</v>
      </c>
    </row>
    <row r="258" spans="1:9" x14ac:dyDescent="0.35">
      <c r="A258" t="s">
        <v>82</v>
      </c>
      <c r="B258" t="s">
        <v>15</v>
      </c>
      <c r="C258" t="s">
        <v>11</v>
      </c>
      <c r="D258" t="s">
        <v>16</v>
      </c>
      <c r="E258" t="s">
        <v>30</v>
      </c>
      <c r="F258">
        <v>191</v>
      </c>
      <c r="G258">
        <v>291848</v>
      </c>
      <c r="H258">
        <v>194493</v>
      </c>
      <c r="I258">
        <v>368</v>
      </c>
    </row>
    <row r="259" spans="1:9" x14ac:dyDescent="0.35">
      <c r="A259" t="s">
        <v>63</v>
      </c>
      <c r="B259" t="s">
        <v>42</v>
      </c>
      <c r="C259" t="s">
        <v>11</v>
      </c>
      <c r="D259" t="s">
        <v>16</v>
      </c>
      <c r="E259" t="s">
        <v>30</v>
      </c>
      <c r="F259">
        <v>61</v>
      </c>
      <c r="G259">
        <v>131699</v>
      </c>
      <c r="H259">
        <v>100199</v>
      </c>
      <c r="I259">
        <v>630</v>
      </c>
    </row>
    <row r="260" spans="1:9" x14ac:dyDescent="0.35">
      <c r="A260" t="s">
        <v>72</v>
      </c>
      <c r="B260" t="s">
        <v>15</v>
      </c>
      <c r="C260" t="s">
        <v>11</v>
      </c>
      <c r="D260" t="s">
        <v>16</v>
      </c>
      <c r="E260" t="s">
        <v>17</v>
      </c>
      <c r="F260">
        <v>200</v>
      </c>
      <c r="G260">
        <v>406800</v>
      </c>
      <c r="H260">
        <v>306524</v>
      </c>
      <c r="I260">
        <v>331</v>
      </c>
    </row>
    <row r="261" spans="1:9" x14ac:dyDescent="0.35">
      <c r="A261" t="s">
        <v>47</v>
      </c>
      <c r="B261" t="s">
        <v>24</v>
      </c>
      <c r="C261" t="s">
        <v>11</v>
      </c>
      <c r="D261" t="s">
        <v>16</v>
      </c>
      <c r="E261" t="s">
        <v>17</v>
      </c>
      <c r="F261">
        <v>86</v>
      </c>
      <c r="G261">
        <v>146888</v>
      </c>
      <c r="H261">
        <v>96730</v>
      </c>
      <c r="I261">
        <v>669</v>
      </c>
    </row>
    <row r="262" spans="1:9" x14ac:dyDescent="0.35">
      <c r="A262" t="s">
        <v>27</v>
      </c>
      <c r="B262" t="s">
        <v>15</v>
      </c>
      <c r="C262" t="s">
        <v>11</v>
      </c>
      <c r="D262" t="s">
        <v>29</v>
      </c>
      <c r="E262" t="s">
        <v>17</v>
      </c>
      <c r="F262">
        <v>155</v>
      </c>
      <c r="G262">
        <v>306745</v>
      </c>
      <c r="H262">
        <v>216046</v>
      </c>
      <c r="I262">
        <v>635</v>
      </c>
    </row>
    <row r="263" spans="1:9" x14ac:dyDescent="0.35">
      <c r="A263" t="s">
        <v>26</v>
      </c>
      <c r="B263" t="s">
        <v>10</v>
      </c>
      <c r="C263" t="s">
        <v>11</v>
      </c>
      <c r="D263" t="s">
        <v>16</v>
      </c>
      <c r="E263" t="s">
        <v>13</v>
      </c>
      <c r="F263">
        <v>92</v>
      </c>
      <c r="G263">
        <v>150328</v>
      </c>
      <c r="H263">
        <v>113301</v>
      </c>
      <c r="I263">
        <v>905</v>
      </c>
    </row>
    <row r="264" spans="1:9" x14ac:dyDescent="0.35">
      <c r="A264" t="s">
        <v>78</v>
      </c>
      <c r="B264" t="s">
        <v>22</v>
      </c>
      <c r="C264" t="s">
        <v>11</v>
      </c>
      <c r="D264" t="s">
        <v>20</v>
      </c>
      <c r="E264" t="s">
        <v>13</v>
      </c>
      <c r="F264">
        <v>101</v>
      </c>
      <c r="G264">
        <v>241188</v>
      </c>
      <c r="H264">
        <v>191498</v>
      </c>
      <c r="I264">
        <v>816</v>
      </c>
    </row>
    <row r="265" spans="1:9" x14ac:dyDescent="0.35">
      <c r="A265" t="s">
        <v>57</v>
      </c>
      <c r="B265" t="s">
        <v>24</v>
      </c>
      <c r="C265" t="s">
        <v>11</v>
      </c>
      <c r="D265" t="s">
        <v>20</v>
      </c>
      <c r="E265" t="s">
        <v>17</v>
      </c>
      <c r="F265">
        <v>71</v>
      </c>
      <c r="G265">
        <v>149597</v>
      </c>
      <c r="H265">
        <v>121186</v>
      </c>
      <c r="I265">
        <v>734</v>
      </c>
    </row>
    <row r="266" spans="1:9" x14ac:dyDescent="0.35">
      <c r="A266" t="s">
        <v>79</v>
      </c>
      <c r="B266" t="s">
        <v>15</v>
      </c>
      <c r="C266" t="s">
        <v>11</v>
      </c>
      <c r="D266" t="s">
        <v>29</v>
      </c>
      <c r="E266" t="s">
        <v>30</v>
      </c>
      <c r="F266">
        <v>144</v>
      </c>
      <c r="G266">
        <v>242928</v>
      </c>
      <c r="H266">
        <v>176199</v>
      </c>
      <c r="I266">
        <v>763</v>
      </c>
    </row>
    <row r="267" spans="1:9" x14ac:dyDescent="0.35">
      <c r="A267" t="s">
        <v>36</v>
      </c>
      <c r="B267" t="s">
        <v>24</v>
      </c>
      <c r="C267" t="s">
        <v>11</v>
      </c>
      <c r="D267" t="s">
        <v>16</v>
      </c>
      <c r="E267" t="s">
        <v>30</v>
      </c>
      <c r="F267">
        <v>108</v>
      </c>
      <c r="G267">
        <v>214272</v>
      </c>
      <c r="H267">
        <v>133378</v>
      </c>
      <c r="I267">
        <v>370</v>
      </c>
    </row>
    <row r="268" spans="1:9" x14ac:dyDescent="0.35">
      <c r="A268" t="s">
        <v>26</v>
      </c>
      <c r="B268" t="s">
        <v>24</v>
      </c>
      <c r="C268" t="s">
        <v>11</v>
      </c>
      <c r="D268" t="s">
        <v>12</v>
      </c>
      <c r="E268" t="s">
        <v>17</v>
      </c>
      <c r="F268">
        <v>129</v>
      </c>
      <c r="G268">
        <v>243939</v>
      </c>
      <c r="H268">
        <v>150062</v>
      </c>
      <c r="I268">
        <v>466</v>
      </c>
    </row>
    <row r="269" spans="1:9" x14ac:dyDescent="0.35">
      <c r="A269" t="s">
        <v>50</v>
      </c>
      <c r="B269" t="s">
        <v>22</v>
      </c>
      <c r="C269" t="s">
        <v>11</v>
      </c>
      <c r="D269" t="s">
        <v>12</v>
      </c>
      <c r="E269" t="s">
        <v>13</v>
      </c>
      <c r="F269">
        <v>130</v>
      </c>
      <c r="G269">
        <v>240500</v>
      </c>
      <c r="H269">
        <v>196416</v>
      </c>
      <c r="I269">
        <v>394</v>
      </c>
    </row>
    <row r="270" spans="1:9" x14ac:dyDescent="0.35">
      <c r="A270" t="s">
        <v>32</v>
      </c>
      <c r="B270" t="s">
        <v>15</v>
      </c>
      <c r="C270" t="s">
        <v>11</v>
      </c>
      <c r="D270" t="s">
        <v>20</v>
      </c>
      <c r="E270" t="s">
        <v>30</v>
      </c>
      <c r="F270">
        <v>79</v>
      </c>
      <c r="G270">
        <v>160212</v>
      </c>
      <c r="H270">
        <v>104224</v>
      </c>
      <c r="I270">
        <v>929</v>
      </c>
    </row>
    <row r="271" spans="1:9" x14ac:dyDescent="0.35">
      <c r="A271" t="s">
        <v>64</v>
      </c>
      <c r="B271" t="s">
        <v>24</v>
      </c>
      <c r="C271" t="s">
        <v>11</v>
      </c>
      <c r="D271" t="s">
        <v>16</v>
      </c>
      <c r="E271" t="s">
        <v>13</v>
      </c>
      <c r="F271">
        <v>67</v>
      </c>
      <c r="G271">
        <v>121806</v>
      </c>
      <c r="H271">
        <v>73241</v>
      </c>
      <c r="I271">
        <v>604</v>
      </c>
    </row>
    <row r="272" spans="1:9" x14ac:dyDescent="0.35">
      <c r="A272" t="s">
        <v>46</v>
      </c>
      <c r="B272" t="s">
        <v>15</v>
      </c>
      <c r="C272" t="s">
        <v>11</v>
      </c>
      <c r="D272" t="s">
        <v>29</v>
      </c>
      <c r="E272" t="s">
        <v>30</v>
      </c>
      <c r="F272">
        <v>121</v>
      </c>
      <c r="G272">
        <v>285197</v>
      </c>
      <c r="H272">
        <v>185093</v>
      </c>
      <c r="I272">
        <v>346</v>
      </c>
    </row>
    <row r="273" spans="1:9" x14ac:dyDescent="0.35">
      <c r="A273" t="s">
        <v>28</v>
      </c>
      <c r="B273" t="s">
        <v>22</v>
      </c>
      <c r="C273" t="s">
        <v>11</v>
      </c>
      <c r="D273" t="s">
        <v>12</v>
      </c>
      <c r="E273" t="s">
        <v>13</v>
      </c>
      <c r="F273">
        <v>50</v>
      </c>
      <c r="G273">
        <v>77700</v>
      </c>
      <c r="H273">
        <v>56620</v>
      </c>
      <c r="I273">
        <v>928</v>
      </c>
    </row>
    <row r="274" spans="1:9" x14ac:dyDescent="0.35">
      <c r="A274" t="s">
        <v>35</v>
      </c>
      <c r="B274" t="s">
        <v>22</v>
      </c>
      <c r="C274" t="s">
        <v>11</v>
      </c>
      <c r="D274" t="s">
        <v>29</v>
      </c>
      <c r="E274" t="s">
        <v>30</v>
      </c>
      <c r="F274">
        <v>95</v>
      </c>
      <c r="G274">
        <v>171475</v>
      </c>
      <c r="H274">
        <v>106987</v>
      </c>
      <c r="I274">
        <v>941</v>
      </c>
    </row>
    <row r="275" spans="1:9" x14ac:dyDescent="0.35">
      <c r="A275" t="s">
        <v>63</v>
      </c>
      <c r="B275" t="s">
        <v>22</v>
      </c>
      <c r="C275" t="s">
        <v>11</v>
      </c>
      <c r="D275" t="s">
        <v>16</v>
      </c>
      <c r="E275" t="s">
        <v>13</v>
      </c>
      <c r="F275">
        <v>70</v>
      </c>
      <c r="G275">
        <v>118230</v>
      </c>
      <c r="H275">
        <v>78900</v>
      </c>
      <c r="I275">
        <v>474</v>
      </c>
    </row>
    <row r="276" spans="1:9" x14ac:dyDescent="0.35">
      <c r="A276" t="s">
        <v>23</v>
      </c>
      <c r="B276" t="s">
        <v>10</v>
      </c>
      <c r="C276" t="s">
        <v>11</v>
      </c>
      <c r="D276" t="s">
        <v>29</v>
      </c>
      <c r="E276" t="s">
        <v>17</v>
      </c>
      <c r="F276">
        <v>170</v>
      </c>
      <c r="G276">
        <v>398990</v>
      </c>
      <c r="H276">
        <v>299190</v>
      </c>
      <c r="I276">
        <v>919</v>
      </c>
    </row>
    <row r="277" spans="1:9" x14ac:dyDescent="0.35">
      <c r="A277" t="s">
        <v>34</v>
      </c>
      <c r="B277" t="s">
        <v>42</v>
      </c>
      <c r="C277" t="s">
        <v>11</v>
      </c>
      <c r="D277" t="s">
        <v>12</v>
      </c>
      <c r="E277" t="s">
        <v>13</v>
      </c>
      <c r="F277">
        <v>67</v>
      </c>
      <c r="G277">
        <v>108607</v>
      </c>
      <c r="H277">
        <v>84567</v>
      </c>
      <c r="I277">
        <v>263</v>
      </c>
    </row>
    <row r="278" spans="1:9" x14ac:dyDescent="0.35">
      <c r="A278" t="s">
        <v>53</v>
      </c>
      <c r="B278" t="s">
        <v>10</v>
      </c>
      <c r="C278" t="s">
        <v>11</v>
      </c>
      <c r="D278" t="s">
        <v>29</v>
      </c>
      <c r="E278" t="s">
        <v>13</v>
      </c>
      <c r="F278">
        <v>101</v>
      </c>
      <c r="G278">
        <v>176346</v>
      </c>
      <c r="H278">
        <v>139398</v>
      </c>
      <c r="I278">
        <v>307</v>
      </c>
    </row>
    <row r="279" spans="1:9" x14ac:dyDescent="0.35">
      <c r="A279" t="s">
        <v>28</v>
      </c>
      <c r="B279" t="s">
        <v>15</v>
      </c>
      <c r="C279" t="s">
        <v>11</v>
      </c>
      <c r="D279" t="s">
        <v>16</v>
      </c>
      <c r="E279" t="s">
        <v>13</v>
      </c>
      <c r="F279">
        <v>50</v>
      </c>
      <c r="G279">
        <v>115050</v>
      </c>
      <c r="H279">
        <v>71468</v>
      </c>
      <c r="I279">
        <v>536</v>
      </c>
    </row>
    <row r="280" spans="1:9" x14ac:dyDescent="0.35">
      <c r="A280" t="s">
        <v>58</v>
      </c>
      <c r="B280" t="s">
        <v>24</v>
      </c>
      <c r="C280" t="s">
        <v>11</v>
      </c>
      <c r="D280" t="s">
        <v>29</v>
      </c>
      <c r="E280" t="s">
        <v>17</v>
      </c>
      <c r="F280">
        <v>159</v>
      </c>
      <c r="G280">
        <v>337080</v>
      </c>
      <c r="H280">
        <v>219970</v>
      </c>
      <c r="I280">
        <v>610</v>
      </c>
    </row>
    <row r="281" spans="1:9" x14ac:dyDescent="0.35">
      <c r="A281" t="s">
        <v>83</v>
      </c>
      <c r="B281" t="s">
        <v>15</v>
      </c>
      <c r="C281" t="s">
        <v>11</v>
      </c>
      <c r="D281" t="s">
        <v>29</v>
      </c>
      <c r="E281" t="s">
        <v>17</v>
      </c>
      <c r="F281">
        <v>177</v>
      </c>
      <c r="G281">
        <v>307095</v>
      </c>
      <c r="H281">
        <v>252533</v>
      </c>
      <c r="I281">
        <v>686</v>
      </c>
    </row>
    <row r="282" spans="1:9" x14ac:dyDescent="0.35">
      <c r="A282" t="s">
        <v>61</v>
      </c>
      <c r="B282" t="s">
        <v>19</v>
      </c>
      <c r="C282" t="s">
        <v>11</v>
      </c>
      <c r="D282" t="s">
        <v>20</v>
      </c>
      <c r="E282" t="s">
        <v>17</v>
      </c>
      <c r="F282">
        <v>153</v>
      </c>
      <c r="G282">
        <v>367506</v>
      </c>
      <c r="H282">
        <v>235788</v>
      </c>
      <c r="I282">
        <v>481</v>
      </c>
    </row>
    <row r="283" spans="1:9" x14ac:dyDescent="0.35">
      <c r="A283" t="s">
        <v>35</v>
      </c>
      <c r="B283" t="s">
        <v>19</v>
      </c>
      <c r="C283" t="s">
        <v>11</v>
      </c>
      <c r="D283" t="s">
        <v>20</v>
      </c>
      <c r="E283" t="s">
        <v>17</v>
      </c>
      <c r="F283">
        <v>190</v>
      </c>
      <c r="G283">
        <v>474810</v>
      </c>
      <c r="H283">
        <v>367554</v>
      </c>
      <c r="I283">
        <v>853</v>
      </c>
    </row>
    <row r="284" spans="1:9" x14ac:dyDescent="0.35">
      <c r="A284" t="s">
        <v>14</v>
      </c>
      <c r="B284" t="s">
        <v>19</v>
      </c>
      <c r="C284" t="s">
        <v>11</v>
      </c>
      <c r="D284" t="s">
        <v>16</v>
      </c>
      <c r="E284" t="s">
        <v>13</v>
      </c>
      <c r="F284">
        <v>67</v>
      </c>
      <c r="G284">
        <v>149142</v>
      </c>
      <c r="H284">
        <v>119291</v>
      </c>
      <c r="I284">
        <v>257</v>
      </c>
    </row>
    <row r="285" spans="1:9" x14ac:dyDescent="0.35">
      <c r="A285" t="s">
        <v>50</v>
      </c>
      <c r="B285" t="s">
        <v>24</v>
      </c>
      <c r="C285" t="s">
        <v>11</v>
      </c>
      <c r="D285" t="s">
        <v>20</v>
      </c>
      <c r="E285" t="s">
        <v>17</v>
      </c>
      <c r="F285">
        <v>58</v>
      </c>
      <c r="G285">
        <v>117218</v>
      </c>
      <c r="H285">
        <v>97987</v>
      </c>
      <c r="I285">
        <v>994</v>
      </c>
    </row>
    <row r="286" spans="1:9" x14ac:dyDescent="0.35">
      <c r="A286" t="s">
        <v>66</v>
      </c>
      <c r="B286" t="s">
        <v>15</v>
      </c>
      <c r="C286" t="s">
        <v>11</v>
      </c>
      <c r="D286" t="s">
        <v>12</v>
      </c>
      <c r="E286" t="s">
        <v>17</v>
      </c>
      <c r="F286">
        <v>180</v>
      </c>
      <c r="G286">
        <v>322560</v>
      </c>
      <c r="H286">
        <v>198480</v>
      </c>
      <c r="I286">
        <v>520</v>
      </c>
    </row>
    <row r="287" spans="1:9" x14ac:dyDescent="0.35">
      <c r="A287" t="s">
        <v>43</v>
      </c>
      <c r="B287" t="s">
        <v>24</v>
      </c>
      <c r="C287" t="s">
        <v>11</v>
      </c>
      <c r="D287" t="s">
        <v>20</v>
      </c>
      <c r="E287" t="s">
        <v>17</v>
      </c>
      <c r="F287">
        <v>122</v>
      </c>
      <c r="G287">
        <v>202764</v>
      </c>
      <c r="H287">
        <v>169270</v>
      </c>
      <c r="I287">
        <v>471</v>
      </c>
    </row>
    <row r="288" spans="1:9" x14ac:dyDescent="0.35">
      <c r="A288" t="s">
        <v>34</v>
      </c>
      <c r="B288" t="s">
        <v>42</v>
      </c>
      <c r="C288" t="s">
        <v>11</v>
      </c>
      <c r="D288" t="s">
        <v>20</v>
      </c>
      <c r="E288" t="s">
        <v>30</v>
      </c>
      <c r="F288">
        <v>166</v>
      </c>
      <c r="G288">
        <v>366528</v>
      </c>
      <c r="H288">
        <v>310621</v>
      </c>
      <c r="I288">
        <v>569</v>
      </c>
    </row>
    <row r="289" spans="1:9" x14ac:dyDescent="0.35">
      <c r="A289" t="s">
        <v>57</v>
      </c>
      <c r="B289" t="s">
        <v>22</v>
      </c>
      <c r="C289" t="s">
        <v>11</v>
      </c>
      <c r="D289" t="s">
        <v>20</v>
      </c>
      <c r="E289" t="s">
        <v>30</v>
      </c>
      <c r="F289">
        <v>171</v>
      </c>
      <c r="G289">
        <v>341487</v>
      </c>
      <c r="H289">
        <v>271092</v>
      </c>
      <c r="I289">
        <v>605</v>
      </c>
    </row>
    <row r="290" spans="1:9" x14ac:dyDescent="0.35">
      <c r="A290" t="s">
        <v>38</v>
      </c>
      <c r="B290" t="s">
        <v>10</v>
      </c>
      <c r="C290" t="s">
        <v>11</v>
      </c>
      <c r="D290" t="s">
        <v>16</v>
      </c>
      <c r="E290" t="s">
        <v>30</v>
      </c>
      <c r="F290">
        <v>159</v>
      </c>
      <c r="G290">
        <v>378261</v>
      </c>
      <c r="H290">
        <v>249726</v>
      </c>
      <c r="I290">
        <v>413</v>
      </c>
    </row>
    <row r="291" spans="1:9" x14ac:dyDescent="0.35">
      <c r="A291" t="s">
        <v>41</v>
      </c>
      <c r="B291" t="s">
        <v>42</v>
      </c>
      <c r="C291" t="s">
        <v>11</v>
      </c>
      <c r="D291" t="s">
        <v>16</v>
      </c>
      <c r="E291" t="s">
        <v>17</v>
      </c>
      <c r="F291">
        <v>184</v>
      </c>
      <c r="G291">
        <v>281520</v>
      </c>
      <c r="H291">
        <v>176745</v>
      </c>
      <c r="I291">
        <v>787</v>
      </c>
    </row>
    <row r="292" spans="1:9" x14ac:dyDescent="0.35">
      <c r="A292" t="s">
        <v>72</v>
      </c>
      <c r="B292" t="s">
        <v>42</v>
      </c>
      <c r="C292" t="s">
        <v>11</v>
      </c>
      <c r="D292" t="s">
        <v>16</v>
      </c>
      <c r="E292" t="s">
        <v>30</v>
      </c>
      <c r="F292">
        <v>181</v>
      </c>
      <c r="G292">
        <v>443088</v>
      </c>
      <c r="H292">
        <v>292591</v>
      </c>
      <c r="I292">
        <v>762</v>
      </c>
    </row>
    <row r="293" spans="1:9" x14ac:dyDescent="0.35">
      <c r="A293" t="s">
        <v>27</v>
      </c>
      <c r="B293" t="s">
        <v>42</v>
      </c>
      <c r="C293" t="s">
        <v>11</v>
      </c>
      <c r="D293" t="s">
        <v>20</v>
      </c>
      <c r="E293" t="s">
        <v>17</v>
      </c>
      <c r="F293">
        <v>140</v>
      </c>
      <c r="G293">
        <v>260540</v>
      </c>
      <c r="H293">
        <v>162383</v>
      </c>
      <c r="I293">
        <v>798</v>
      </c>
    </row>
    <row r="294" spans="1:9" x14ac:dyDescent="0.35">
      <c r="A294" t="s">
        <v>52</v>
      </c>
      <c r="B294" t="s">
        <v>42</v>
      </c>
      <c r="C294" t="s">
        <v>11</v>
      </c>
      <c r="D294" t="s">
        <v>20</v>
      </c>
      <c r="E294" t="s">
        <v>13</v>
      </c>
      <c r="F294">
        <v>72</v>
      </c>
      <c r="G294">
        <v>121176</v>
      </c>
      <c r="H294">
        <v>99331</v>
      </c>
      <c r="I294">
        <v>884</v>
      </c>
    </row>
    <row r="295" spans="1:9" x14ac:dyDescent="0.35">
      <c r="A295" t="s">
        <v>47</v>
      </c>
      <c r="B295" t="s">
        <v>22</v>
      </c>
      <c r="C295" t="s">
        <v>11</v>
      </c>
      <c r="D295" t="s">
        <v>29</v>
      </c>
      <c r="E295" t="s">
        <v>13</v>
      </c>
      <c r="F295">
        <v>179</v>
      </c>
      <c r="G295">
        <v>302510</v>
      </c>
      <c r="H295">
        <v>203381</v>
      </c>
      <c r="I295">
        <v>970</v>
      </c>
    </row>
    <row r="296" spans="1:9" x14ac:dyDescent="0.35">
      <c r="A296" t="s">
        <v>44</v>
      </c>
      <c r="B296" t="s">
        <v>19</v>
      </c>
      <c r="C296" t="s">
        <v>11</v>
      </c>
      <c r="D296" t="s">
        <v>16</v>
      </c>
      <c r="E296" t="s">
        <v>17</v>
      </c>
      <c r="F296">
        <v>121</v>
      </c>
      <c r="G296">
        <v>235829</v>
      </c>
      <c r="H296">
        <v>158794</v>
      </c>
      <c r="I296">
        <v>607</v>
      </c>
    </row>
    <row r="297" spans="1:9" x14ac:dyDescent="0.35">
      <c r="A297" t="s">
        <v>44</v>
      </c>
      <c r="B297" t="s">
        <v>22</v>
      </c>
      <c r="C297" t="s">
        <v>11</v>
      </c>
      <c r="D297" t="s">
        <v>16</v>
      </c>
      <c r="E297" t="s">
        <v>13</v>
      </c>
      <c r="F297">
        <v>92</v>
      </c>
      <c r="G297">
        <v>199180</v>
      </c>
      <c r="H297">
        <v>135328</v>
      </c>
      <c r="I297">
        <v>735</v>
      </c>
    </row>
    <row r="298" spans="1:9" x14ac:dyDescent="0.35">
      <c r="A298" t="s">
        <v>46</v>
      </c>
      <c r="B298" t="s">
        <v>19</v>
      </c>
      <c r="C298" t="s">
        <v>11</v>
      </c>
      <c r="D298" t="s">
        <v>16</v>
      </c>
      <c r="E298" t="s">
        <v>17</v>
      </c>
      <c r="F298">
        <v>137</v>
      </c>
      <c r="G298">
        <v>231393</v>
      </c>
      <c r="H298">
        <v>191010</v>
      </c>
      <c r="I298">
        <v>833</v>
      </c>
    </row>
    <row r="299" spans="1:9" x14ac:dyDescent="0.35">
      <c r="A299" t="s">
        <v>40</v>
      </c>
      <c r="B299" t="s">
        <v>42</v>
      </c>
      <c r="C299" t="s">
        <v>11</v>
      </c>
      <c r="D299" t="s">
        <v>12</v>
      </c>
      <c r="E299" t="s">
        <v>30</v>
      </c>
      <c r="F299">
        <v>117</v>
      </c>
      <c r="G299">
        <v>263835</v>
      </c>
      <c r="H299">
        <v>184740</v>
      </c>
      <c r="I299">
        <v>688</v>
      </c>
    </row>
    <row r="300" spans="1:9" x14ac:dyDescent="0.35">
      <c r="A300" t="s">
        <v>53</v>
      </c>
      <c r="B300" t="s">
        <v>10</v>
      </c>
      <c r="C300" t="s">
        <v>11</v>
      </c>
      <c r="D300" t="s">
        <v>16</v>
      </c>
      <c r="E300" t="s">
        <v>13</v>
      </c>
      <c r="F300">
        <v>123</v>
      </c>
      <c r="G300">
        <v>272814</v>
      </c>
      <c r="H300">
        <v>220364</v>
      </c>
      <c r="I300">
        <v>507</v>
      </c>
    </row>
    <row r="301" spans="1:9" x14ac:dyDescent="0.35">
      <c r="A301" t="s">
        <v>64</v>
      </c>
      <c r="B301" t="s">
        <v>19</v>
      </c>
      <c r="C301" t="s">
        <v>11</v>
      </c>
      <c r="D301" t="s">
        <v>20</v>
      </c>
      <c r="E301" t="s">
        <v>13</v>
      </c>
      <c r="F301">
        <v>189</v>
      </c>
      <c r="G301">
        <v>289737</v>
      </c>
      <c r="H301">
        <v>217103</v>
      </c>
      <c r="I301">
        <v>888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B5F14-FDBE-4BE9-B5A4-EFA4337F03E2}">
  <dimension ref="A1:L301"/>
  <sheetViews>
    <sheetView workbookViewId="0">
      <pane ySplit="1" topLeftCell="A206" activePane="bottomLeft" state="frozen"/>
      <selection pane="bottomLeft" activeCell="F1" sqref="F1"/>
    </sheetView>
  </sheetViews>
  <sheetFormatPr defaultRowHeight="14.5" x14ac:dyDescent="0.35"/>
  <cols>
    <col min="1" max="1" width="10.08984375" bestFit="1" customWidth="1"/>
    <col min="2" max="2" width="8.81640625" bestFit="1" customWidth="1"/>
    <col min="3" max="3" width="9.7265625" bestFit="1" customWidth="1"/>
    <col min="4" max="4" width="10.54296875" bestFit="1" customWidth="1"/>
    <col min="6" max="6" width="9.90625" bestFit="1" customWidth="1"/>
    <col min="7" max="7" width="12" bestFit="1" customWidth="1"/>
    <col min="8" max="8" width="10.26953125" bestFit="1" customWidth="1"/>
    <col min="9" max="9" width="6.81640625" bestFit="1" customWidth="1"/>
    <col min="10" max="10" width="11.1796875" bestFit="1" customWidth="1"/>
    <col min="11" max="11" width="7.81640625" bestFit="1" customWidth="1"/>
    <col min="12" max="12" width="8.81640625" bestFit="1" customWidth="1"/>
  </cols>
  <sheetData>
    <row r="1" spans="1:12" x14ac:dyDescent="0.35">
      <c r="A1" t="s">
        <v>0</v>
      </c>
      <c r="B1" t="s">
        <v>84</v>
      </c>
      <c r="C1" t="s">
        <v>1</v>
      </c>
      <c r="D1" t="s">
        <v>2</v>
      </c>
      <c r="E1" t="s">
        <v>3</v>
      </c>
      <c r="F1" t="s">
        <v>4</v>
      </c>
      <c r="G1" t="s">
        <v>5</v>
      </c>
      <c r="H1" t="s">
        <v>6</v>
      </c>
      <c r="I1" t="s">
        <v>7</v>
      </c>
      <c r="J1" t="s">
        <v>8</v>
      </c>
      <c r="K1" t="s">
        <v>85</v>
      </c>
      <c r="L1" t="s">
        <v>86</v>
      </c>
    </row>
    <row r="2" spans="1:12" x14ac:dyDescent="0.35">
      <c r="A2" t="s">
        <v>9</v>
      </c>
      <c r="B2" t="str">
        <f>TEXT(A2,"mmmm")</f>
        <v>February</v>
      </c>
      <c r="C2" t="s">
        <v>10</v>
      </c>
      <c r="D2" t="s">
        <v>11</v>
      </c>
      <c r="E2" t="s">
        <v>12</v>
      </c>
      <c r="F2" t="s">
        <v>13</v>
      </c>
      <c r="G2">
        <v>117</v>
      </c>
      <c r="H2">
        <v>197262</v>
      </c>
      <c r="I2">
        <v>125651</v>
      </c>
      <c r="J2">
        <v>944</v>
      </c>
      <c r="K2">
        <f>Table1[[#This Row],[Revenue]]-Table1[[#This Row],[Cost]]</f>
        <v>71611</v>
      </c>
      <c r="L2" s="1">
        <f>Table1[[#This Row],[profit]]/Table1[[#This Row],[Revenue]]</f>
        <v>0.36302480964402672</v>
      </c>
    </row>
    <row r="3" spans="1:12" x14ac:dyDescent="0.35">
      <c r="A3" t="s">
        <v>14</v>
      </c>
      <c r="B3" t="str">
        <f t="shared" ref="B3:B66" si="0">TEXT(A3,"mmmm")</f>
        <v>February</v>
      </c>
      <c r="C3" t="s">
        <v>15</v>
      </c>
      <c r="D3" t="s">
        <v>11</v>
      </c>
      <c r="E3" t="s">
        <v>16</v>
      </c>
      <c r="F3" t="s">
        <v>17</v>
      </c>
      <c r="G3">
        <v>176</v>
      </c>
      <c r="H3">
        <v>358512</v>
      </c>
      <c r="I3">
        <v>298611</v>
      </c>
      <c r="J3">
        <v>927</v>
      </c>
      <c r="K3">
        <f>Table1[[#This Row],[Revenue]]-Table1[[#This Row],[Cost]]</f>
        <v>59901</v>
      </c>
      <c r="L3" s="1">
        <f>Table1[[#This Row],[profit]]/Table1[[#This Row],[Revenue]]</f>
        <v>0.16708227339670639</v>
      </c>
    </row>
    <row r="4" spans="1:12" x14ac:dyDescent="0.35">
      <c r="A4" t="s">
        <v>18</v>
      </c>
      <c r="B4" t="str">
        <f t="shared" si="0"/>
        <v>February</v>
      </c>
      <c r="C4" t="s">
        <v>19</v>
      </c>
      <c r="D4" t="s">
        <v>11</v>
      </c>
      <c r="E4" t="s">
        <v>20</v>
      </c>
      <c r="F4" t="s">
        <v>17</v>
      </c>
      <c r="G4">
        <v>110</v>
      </c>
      <c r="H4">
        <v>245190</v>
      </c>
      <c r="I4">
        <v>160045</v>
      </c>
      <c r="J4">
        <v>479</v>
      </c>
      <c r="K4">
        <f>Table1[[#This Row],[Revenue]]-Table1[[#This Row],[Cost]]</f>
        <v>85145</v>
      </c>
      <c r="L4" s="1">
        <f>Table1[[#This Row],[profit]]/Table1[[#This Row],[Revenue]]</f>
        <v>0.34726130755740447</v>
      </c>
    </row>
    <row r="5" spans="1:12" x14ac:dyDescent="0.35">
      <c r="A5" t="s">
        <v>21</v>
      </c>
      <c r="B5" t="str">
        <f t="shared" si="0"/>
        <v>January</v>
      </c>
      <c r="C5" t="s">
        <v>22</v>
      </c>
      <c r="D5" t="s">
        <v>11</v>
      </c>
      <c r="E5" t="s">
        <v>20</v>
      </c>
      <c r="F5" t="s">
        <v>13</v>
      </c>
      <c r="G5">
        <v>51</v>
      </c>
      <c r="H5">
        <v>86853</v>
      </c>
      <c r="I5">
        <v>67830</v>
      </c>
      <c r="J5">
        <v>289</v>
      </c>
      <c r="K5">
        <f>Table1[[#This Row],[Revenue]]-Table1[[#This Row],[Cost]]</f>
        <v>19023</v>
      </c>
      <c r="L5" s="1">
        <f>Table1[[#This Row],[profit]]/Table1[[#This Row],[Revenue]]</f>
        <v>0.2190252495596007</v>
      </c>
    </row>
    <row r="6" spans="1:12" x14ac:dyDescent="0.35">
      <c r="A6" t="s">
        <v>23</v>
      </c>
      <c r="B6" t="str">
        <f t="shared" si="0"/>
        <v>March</v>
      </c>
      <c r="C6" t="s">
        <v>24</v>
      </c>
      <c r="D6" t="s">
        <v>11</v>
      </c>
      <c r="E6" t="s">
        <v>12</v>
      </c>
      <c r="F6" t="s">
        <v>17</v>
      </c>
      <c r="G6">
        <v>120</v>
      </c>
      <c r="H6">
        <v>277320</v>
      </c>
      <c r="I6">
        <v>192033</v>
      </c>
      <c r="J6">
        <v>578</v>
      </c>
      <c r="K6">
        <f>Table1[[#This Row],[Revenue]]-Table1[[#This Row],[Cost]]</f>
        <v>85287</v>
      </c>
      <c r="L6" s="1">
        <f>Table1[[#This Row],[profit]]/Table1[[#This Row],[Revenue]]</f>
        <v>0.30754002596278668</v>
      </c>
    </row>
    <row r="7" spans="1:12" x14ac:dyDescent="0.35">
      <c r="A7" t="s">
        <v>25</v>
      </c>
      <c r="B7" t="str">
        <f t="shared" si="0"/>
        <v>February</v>
      </c>
      <c r="C7" t="s">
        <v>19</v>
      </c>
      <c r="D7" t="s">
        <v>11</v>
      </c>
      <c r="E7" t="s">
        <v>16</v>
      </c>
      <c r="F7" t="s">
        <v>13</v>
      </c>
      <c r="G7">
        <v>78</v>
      </c>
      <c r="H7">
        <v>194610</v>
      </c>
      <c r="I7">
        <v>164436</v>
      </c>
      <c r="J7">
        <v>607</v>
      </c>
      <c r="K7">
        <f>Table1[[#This Row],[Revenue]]-Table1[[#This Row],[Cost]]</f>
        <v>30174</v>
      </c>
      <c r="L7" s="1">
        <f>Table1[[#This Row],[profit]]/Table1[[#This Row],[Revenue]]</f>
        <v>0.15504855865577308</v>
      </c>
    </row>
    <row r="8" spans="1:12" x14ac:dyDescent="0.35">
      <c r="A8" t="s">
        <v>26</v>
      </c>
      <c r="B8" t="str">
        <f t="shared" si="0"/>
        <v>February</v>
      </c>
      <c r="C8" t="s">
        <v>22</v>
      </c>
      <c r="D8" t="s">
        <v>11</v>
      </c>
      <c r="E8" t="s">
        <v>16</v>
      </c>
      <c r="F8" t="s">
        <v>17</v>
      </c>
      <c r="G8">
        <v>152</v>
      </c>
      <c r="H8">
        <v>357048</v>
      </c>
      <c r="I8">
        <v>234125</v>
      </c>
      <c r="J8">
        <v>657</v>
      </c>
      <c r="K8">
        <f>Table1[[#This Row],[Revenue]]-Table1[[#This Row],[Cost]]</f>
        <v>122923</v>
      </c>
      <c r="L8" s="1">
        <f>Table1[[#This Row],[profit]]/Table1[[#This Row],[Revenue]]</f>
        <v>0.3442758396630145</v>
      </c>
    </row>
    <row r="9" spans="1:12" x14ac:dyDescent="0.35">
      <c r="A9" t="s">
        <v>27</v>
      </c>
      <c r="B9" t="str">
        <f t="shared" si="0"/>
        <v>February</v>
      </c>
      <c r="C9" t="s">
        <v>19</v>
      </c>
      <c r="D9" t="s">
        <v>11</v>
      </c>
      <c r="E9" t="s">
        <v>12</v>
      </c>
      <c r="F9" t="s">
        <v>13</v>
      </c>
      <c r="G9">
        <v>135</v>
      </c>
      <c r="H9">
        <v>324945</v>
      </c>
      <c r="I9">
        <v>270501</v>
      </c>
      <c r="J9">
        <v>456</v>
      </c>
      <c r="K9">
        <f>Table1[[#This Row],[Revenue]]-Table1[[#This Row],[Cost]]</f>
        <v>54444</v>
      </c>
      <c r="L9" s="1">
        <f>Table1[[#This Row],[profit]]/Table1[[#This Row],[Revenue]]</f>
        <v>0.16754835433688778</v>
      </c>
    </row>
    <row r="10" spans="1:12" x14ac:dyDescent="0.35">
      <c r="A10" t="s">
        <v>28</v>
      </c>
      <c r="B10" t="str">
        <f t="shared" si="0"/>
        <v>February</v>
      </c>
      <c r="C10" t="s">
        <v>19</v>
      </c>
      <c r="D10" t="s">
        <v>11</v>
      </c>
      <c r="E10" t="s">
        <v>20</v>
      </c>
      <c r="F10" t="s">
        <v>13</v>
      </c>
      <c r="G10">
        <v>143</v>
      </c>
      <c r="H10">
        <v>346918</v>
      </c>
      <c r="I10">
        <v>241026</v>
      </c>
      <c r="J10">
        <v>816</v>
      </c>
      <c r="K10">
        <f>Table1[[#This Row],[Revenue]]-Table1[[#This Row],[Cost]]</f>
        <v>105892</v>
      </c>
      <c r="L10" s="1">
        <f>Table1[[#This Row],[profit]]/Table1[[#This Row],[Revenue]]</f>
        <v>0.30523639592064983</v>
      </c>
    </row>
    <row r="11" spans="1:12" x14ac:dyDescent="0.35">
      <c r="A11" t="s">
        <v>18</v>
      </c>
      <c r="B11" t="str">
        <f t="shared" si="0"/>
        <v>February</v>
      </c>
      <c r="C11" t="s">
        <v>22</v>
      </c>
      <c r="D11" t="s">
        <v>11</v>
      </c>
      <c r="E11" t="s">
        <v>29</v>
      </c>
      <c r="F11" t="s">
        <v>30</v>
      </c>
      <c r="G11">
        <v>171</v>
      </c>
      <c r="H11">
        <v>389538</v>
      </c>
      <c r="I11">
        <v>270844</v>
      </c>
      <c r="J11">
        <v>353</v>
      </c>
      <c r="K11">
        <f>Table1[[#This Row],[Revenue]]-Table1[[#This Row],[Cost]]</f>
        <v>118694</v>
      </c>
      <c r="L11" s="1">
        <f>Table1[[#This Row],[profit]]/Table1[[#This Row],[Revenue]]</f>
        <v>0.30470454743824738</v>
      </c>
    </row>
    <row r="12" spans="1:12" x14ac:dyDescent="0.35">
      <c r="A12" t="s">
        <v>31</v>
      </c>
      <c r="B12" t="str">
        <f t="shared" si="0"/>
        <v>February</v>
      </c>
      <c r="C12" t="s">
        <v>19</v>
      </c>
      <c r="D12" t="s">
        <v>11</v>
      </c>
      <c r="E12" t="s">
        <v>20</v>
      </c>
      <c r="F12" t="s">
        <v>17</v>
      </c>
      <c r="G12">
        <v>106</v>
      </c>
      <c r="H12">
        <v>256096</v>
      </c>
      <c r="I12">
        <v>183938</v>
      </c>
      <c r="J12">
        <v>409</v>
      </c>
      <c r="K12">
        <f>Table1[[#This Row],[Revenue]]-Table1[[#This Row],[Cost]]</f>
        <v>72158</v>
      </c>
      <c r="L12" s="1">
        <f>Table1[[#This Row],[profit]]/Table1[[#This Row],[Revenue]]</f>
        <v>0.28176152692740225</v>
      </c>
    </row>
    <row r="13" spans="1:12" x14ac:dyDescent="0.35">
      <c r="A13" t="s">
        <v>32</v>
      </c>
      <c r="B13" t="str">
        <f t="shared" si="0"/>
        <v>January</v>
      </c>
      <c r="C13" t="s">
        <v>22</v>
      </c>
      <c r="D13" t="s">
        <v>11</v>
      </c>
      <c r="E13" t="s">
        <v>16</v>
      </c>
      <c r="F13" t="s">
        <v>30</v>
      </c>
      <c r="G13">
        <v>192</v>
      </c>
      <c r="H13">
        <v>344448</v>
      </c>
      <c r="I13">
        <v>226473</v>
      </c>
      <c r="J13">
        <v>963</v>
      </c>
      <c r="K13">
        <f>Table1[[#This Row],[Revenue]]-Table1[[#This Row],[Cost]]</f>
        <v>117975</v>
      </c>
      <c r="L13" s="1">
        <f>Table1[[#This Row],[profit]]/Table1[[#This Row],[Revenue]]</f>
        <v>0.34250452898550726</v>
      </c>
    </row>
    <row r="14" spans="1:12" x14ac:dyDescent="0.35">
      <c r="A14" t="s">
        <v>33</v>
      </c>
      <c r="B14" t="str">
        <f t="shared" si="0"/>
        <v>January</v>
      </c>
      <c r="C14" t="s">
        <v>15</v>
      </c>
      <c r="D14" t="s">
        <v>11</v>
      </c>
      <c r="E14" t="s">
        <v>29</v>
      </c>
      <c r="F14" t="s">
        <v>30</v>
      </c>
      <c r="G14">
        <v>97</v>
      </c>
      <c r="H14">
        <v>204185</v>
      </c>
      <c r="I14">
        <v>140399</v>
      </c>
      <c r="J14">
        <v>322</v>
      </c>
      <c r="K14">
        <f>Table1[[#This Row],[Revenue]]-Table1[[#This Row],[Cost]]</f>
        <v>63786</v>
      </c>
      <c r="L14" s="1">
        <f>Table1[[#This Row],[profit]]/Table1[[#This Row],[Revenue]]</f>
        <v>0.31239317285794743</v>
      </c>
    </row>
    <row r="15" spans="1:12" x14ac:dyDescent="0.35">
      <c r="A15" t="s">
        <v>34</v>
      </c>
      <c r="B15" t="str">
        <f t="shared" si="0"/>
        <v>February</v>
      </c>
      <c r="C15" t="s">
        <v>15</v>
      </c>
      <c r="D15" t="s">
        <v>11</v>
      </c>
      <c r="E15" t="s">
        <v>20</v>
      </c>
      <c r="F15" t="s">
        <v>13</v>
      </c>
      <c r="G15">
        <v>93</v>
      </c>
      <c r="H15">
        <v>159402</v>
      </c>
      <c r="I15">
        <v>133183</v>
      </c>
      <c r="J15">
        <v>268</v>
      </c>
      <c r="K15">
        <f>Table1[[#This Row],[Revenue]]-Table1[[#This Row],[Cost]]</f>
        <v>26219</v>
      </c>
      <c r="L15" s="1">
        <f>Table1[[#This Row],[profit]]/Table1[[#This Row],[Revenue]]</f>
        <v>0.16448350710781545</v>
      </c>
    </row>
    <row r="16" spans="1:12" x14ac:dyDescent="0.35">
      <c r="A16" t="s">
        <v>35</v>
      </c>
      <c r="B16" t="str">
        <f t="shared" si="0"/>
        <v>February</v>
      </c>
      <c r="C16" t="s">
        <v>22</v>
      </c>
      <c r="D16" t="s">
        <v>11</v>
      </c>
      <c r="E16" t="s">
        <v>12</v>
      </c>
      <c r="F16" t="s">
        <v>13</v>
      </c>
      <c r="G16">
        <v>192</v>
      </c>
      <c r="H16">
        <v>401856</v>
      </c>
      <c r="I16">
        <v>313522</v>
      </c>
      <c r="J16">
        <v>717</v>
      </c>
      <c r="K16">
        <f>Table1[[#This Row],[Revenue]]-Table1[[#This Row],[Cost]]</f>
        <v>88334</v>
      </c>
      <c r="L16" s="1">
        <f>Table1[[#This Row],[profit]]/Table1[[#This Row],[Revenue]]</f>
        <v>0.21981505813027552</v>
      </c>
    </row>
    <row r="17" spans="1:12" x14ac:dyDescent="0.35">
      <c r="A17" t="s">
        <v>36</v>
      </c>
      <c r="B17" t="str">
        <f t="shared" si="0"/>
        <v>January</v>
      </c>
      <c r="C17" t="s">
        <v>15</v>
      </c>
      <c r="D17" t="s">
        <v>11</v>
      </c>
      <c r="E17" t="s">
        <v>20</v>
      </c>
      <c r="F17" t="s">
        <v>13</v>
      </c>
      <c r="G17">
        <v>109</v>
      </c>
      <c r="H17">
        <v>267704</v>
      </c>
      <c r="I17">
        <v>223448</v>
      </c>
      <c r="J17">
        <v>680</v>
      </c>
      <c r="K17">
        <f>Table1[[#This Row],[Revenue]]-Table1[[#This Row],[Cost]]</f>
        <v>44256</v>
      </c>
      <c r="L17" s="1">
        <f>Table1[[#This Row],[profit]]/Table1[[#This Row],[Revenue]]</f>
        <v>0.16531691719212263</v>
      </c>
    </row>
    <row r="18" spans="1:12" x14ac:dyDescent="0.35">
      <c r="A18" t="s">
        <v>37</v>
      </c>
      <c r="B18" t="str">
        <f t="shared" si="0"/>
        <v>January</v>
      </c>
      <c r="C18" t="s">
        <v>22</v>
      </c>
      <c r="D18" t="s">
        <v>11</v>
      </c>
      <c r="E18" t="s">
        <v>16</v>
      </c>
      <c r="F18" t="s">
        <v>30</v>
      </c>
      <c r="G18">
        <v>103</v>
      </c>
      <c r="H18">
        <v>234222</v>
      </c>
      <c r="I18">
        <v>190480</v>
      </c>
      <c r="J18">
        <v>365</v>
      </c>
      <c r="K18">
        <f>Table1[[#This Row],[Revenue]]-Table1[[#This Row],[Cost]]</f>
        <v>43742</v>
      </c>
      <c r="L18" s="1">
        <f>Table1[[#This Row],[profit]]/Table1[[#This Row],[Revenue]]</f>
        <v>0.18675444663609739</v>
      </c>
    </row>
    <row r="19" spans="1:12" x14ac:dyDescent="0.35">
      <c r="A19" t="s">
        <v>38</v>
      </c>
      <c r="B19" t="str">
        <f t="shared" si="0"/>
        <v>February</v>
      </c>
      <c r="C19" t="s">
        <v>10</v>
      </c>
      <c r="D19" t="s">
        <v>11</v>
      </c>
      <c r="E19" t="s">
        <v>16</v>
      </c>
      <c r="F19" t="s">
        <v>30</v>
      </c>
      <c r="G19">
        <v>153</v>
      </c>
      <c r="H19">
        <v>290394</v>
      </c>
      <c r="I19">
        <v>218644</v>
      </c>
      <c r="J19">
        <v>387</v>
      </c>
      <c r="K19">
        <f>Table1[[#This Row],[Revenue]]-Table1[[#This Row],[Cost]]</f>
        <v>71750</v>
      </c>
      <c r="L19" s="1">
        <f>Table1[[#This Row],[profit]]/Table1[[#This Row],[Revenue]]</f>
        <v>0.247078107674401</v>
      </c>
    </row>
    <row r="20" spans="1:12" x14ac:dyDescent="0.35">
      <c r="A20" t="s">
        <v>39</v>
      </c>
      <c r="B20" t="str">
        <f t="shared" si="0"/>
        <v>January</v>
      </c>
      <c r="C20" t="s">
        <v>10</v>
      </c>
      <c r="D20" t="s">
        <v>11</v>
      </c>
      <c r="E20" t="s">
        <v>12</v>
      </c>
      <c r="F20" t="s">
        <v>13</v>
      </c>
      <c r="G20">
        <v>96</v>
      </c>
      <c r="H20">
        <v>181728</v>
      </c>
      <c r="I20">
        <v>117813</v>
      </c>
      <c r="J20">
        <v>529</v>
      </c>
      <c r="K20">
        <f>Table1[[#This Row],[Revenue]]-Table1[[#This Row],[Cost]]</f>
        <v>63915</v>
      </c>
      <c r="L20" s="1">
        <f>Table1[[#This Row],[profit]]/Table1[[#This Row],[Revenue]]</f>
        <v>0.3517069466455362</v>
      </c>
    </row>
    <row r="21" spans="1:12" x14ac:dyDescent="0.35">
      <c r="A21" t="s">
        <v>40</v>
      </c>
      <c r="B21" t="str">
        <f t="shared" si="0"/>
        <v>January</v>
      </c>
      <c r="C21" t="s">
        <v>10</v>
      </c>
      <c r="D21" t="s">
        <v>11</v>
      </c>
      <c r="E21" t="s">
        <v>12</v>
      </c>
      <c r="F21" t="s">
        <v>30</v>
      </c>
      <c r="G21">
        <v>91</v>
      </c>
      <c r="H21">
        <v>179998</v>
      </c>
      <c r="I21">
        <v>140264</v>
      </c>
      <c r="J21">
        <v>925</v>
      </c>
      <c r="K21">
        <f>Table1[[#This Row],[Revenue]]-Table1[[#This Row],[Cost]]</f>
        <v>39734</v>
      </c>
      <c r="L21" s="1">
        <f>Table1[[#This Row],[profit]]/Table1[[#This Row],[Revenue]]</f>
        <v>0.22074689718774654</v>
      </c>
    </row>
    <row r="22" spans="1:12" x14ac:dyDescent="0.35">
      <c r="A22" t="s">
        <v>21</v>
      </c>
      <c r="B22" t="str">
        <f t="shared" si="0"/>
        <v>January</v>
      </c>
      <c r="C22" t="s">
        <v>10</v>
      </c>
      <c r="D22" t="s">
        <v>11</v>
      </c>
      <c r="E22" t="s">
        <v>12</v>
      </c>
      <c r="F22" t="s">
        <v>30</v>
      </c>
      <c r="G22">
        <v>128</v>
      </c>
      <c r="H22">
        <v>305536</v>
      </c>
      <c r="I22">
        <v>220171</v>
      </c>
      <c r="J22">
        <v>681</v>
      </c>
      <c r="K22">
        <f>Table1[[#This Row],[Revenue]]-Table1[[#This Row],[Cost]]</f>
        <v>85365</v>
      </c>
      <c r="L22" s="1">
        <f>Table1[[#This Row],[profit]]/Table1[[#This Row],[Revenue]]</f>
        <v>0.27939424486803521</v>
      </c>
    </row>
    <row r="23" spans="1:12" x14ac:dyDescent="0.35">
      <c r="A23" t="s">
        <v>32</v>
      </c>
      <c r="B23" t="str">
        <f t="shared" si="0"/>
        <v>January</v>
      </c>
      <c r="C23" t="s">
        <v>24</v>
      </c>
      <c r="D23" t="s">
        <v>11</v>
      </c>
      <c r="E23" t="s">
        <v>16</v>
      </c>
      <c r="F23" t="s">
        <v>30</v>
      </c>
      <c r="G23">
        <v>59</v>
      </c>
      <c r="H23">
        <v>126673</v>
      </c>
      <c r="I23">
        <v>89839</v>
      </c>
      <c r="J23">
        <v>649</v>
      </c>
      <c r="K23">
        <f>Table1[[#This Row],[Revenue]]-Table1[[#This Row],[Cost]]</f>
        <v>36834</v>
      </c>
      <c r="L23" s="1">
        <f>Table1[[#This Row],[profit]]/Table1[[#This Row],[Revenue]]</f>
        <v>0.29078019783221365</v>
      </c>
    </row>
    <row r="24" spans="1:12" x14ac:dyDescent="0.35">
      <c r="A24" t="s">
        <v>41</v>
      </c>
      <c r="B24" t="str">
        <f t="shared" si="0"/>
        <v>February</v>
      </c>
      <c r="C24" t="s">
        <v>42</v>
      </c>
      <c r="D24" t="s">
        <v>11</v>
      </c>
      <c r="E24" t="s">
        <v>20</v>
      </c>
      <c r="F24" t="s">
        <v>17</v>
      </c>
      <c r="G24">
        <v>52</v>
      </c>
      <c r="H24">
        <v>101504</v>
      </c>
      <c r="I24">
        <v>69187</v>
      </c>
      <c r="J24">
        <v>709</v>
      </c>
      <c r="K24">
        <f>Table1[[#This Row],[Revenue]]-Table1[[#This Row],[Cost]]</f>
        <v>32317</v>
      </c>
      <c r="L24" s="1">
        <f>Table1[[#This Row],[profit]]/Table1[[#This Row],[Revenue]]</f>
        <v>0.31838154161412358</v>
      </c>
    </row>
    <row r="25" spans="1:12" x14ac:dyDescent="0.35">
      <c r="A25" t="s">
        <v>43</v>
      </c>
      <c r="B25" t="str">
        <f t="shared" si="0"/>
        <v>January</v>
      </c>
      <c r="C25" t="s">
        <v>42</v>
      </c>
      <c r="D25" t="s">
        <v>11</v>
      </c>
      <c r="E25" t="s">
        <v>29</v>
      </c>
      <c r="F25" t="s">
        <v>30</v>
      </c>
      <c r="G25">
        <v>91</v>
      </c>
      <c r="H25">
        <v>159705</v>
      </c>
      <c r="I25">
        <v>117382</v>
      </c>
      <c r="J25">
        <v>674</v>
      </c>
      <c r="K25">
        <f>Table1[[#This Row],[Revenue]]-Table1[[#This Row],[Cost]]</f>
        <v>42323</v>
      </c>
      <c r="L25" s="1">
        <f>Table1[[#This Row],[profit]]/Table1[[#This Row],[Revenue]]</f>
        <v>0.2650073573150496</v>
      </c>
    </row>
    <row r="26" spans="1:12" x14ac:dyDescent="0.35">
      <c r="A26" t="s">
        <v>33</v>
      </c>
      <c r="B26" t="str">
        <f t="shared" si="0"/>
        <v>January</v>
      </c>
      <c r="C26" t="s">
        <v>22</v>
      </c>
      <c r="D26" t="s">
        <v>11</v>
      </c>
      <c r="E26" t="s">
        <v>20</v>
      </c>
      <c r="F26" t="s">
        <v>30</v>
      </c>
      <c r="G26">
        <v>125</v>
      </c>
      <c r="H26">
        <v>213875</v>
      </c>
      <c r="I26">
        <v>166122</v>
      </c>
      <c r="J26">
        <v>437</v>
      </c>
      <c r="K26">
        <f>Table1[[#This Row],[Revenue]]-Table1[[#This Row],[Cost]]</f>
        <v>47753</v>
      </c>
      <c r="L26" s="1">
        <f>Table1[[#This Row],[profit]]/Table1[[#This Row],[Revenue]]</f>
        <v>0.22327527761542956</v>
      </c>
    </row>
    <row r="27" spans="1:12" x14ac:dyDescent="0.35">
      <c r="A27" t="s">
        <v>44</v>
      </c>
      <c r="B27" t="str">
        <f t="shared" si="0"/>
        <v>January</v>
      </c>
      <c r="C27" t="s">
        <v>19</v>
      </c>
      <c r="D27" t="s">
        <v>11</v>
      </c>
      <c r="E27" t="s">
        <v>20</v>
      </c>
      <c r="F27" t="s">
        <v>13</v>
      </c>
      <c r="G27">
        <v>119</v>
      </c>
      <c r="H27">
        <v>290122</v>
      </c>
      <c r="I27">
        <v>182198</v>
      </c>
      <c r="J27">
        <v>532</v>
      </c>
      <c r="K27">
        <f>Table1[[#This Row],[Revenue]]-Table1[[#This Row],[Cost]]</f>
        <v>107924</v>
      </c>
      <c r="L27" s="1">
        <f>Table1[[#This Row],[profit]]/Table1[[#This Row],[Revenue]]</f>
        <v>0.37199522959306774</v>
      </c>
    </row>
    <row r="28" spans="1:12" x14ac:dyDescent="0.35">
      <c r="A28" t="s">
        <v>14</v>
      </c>
      <c r="B28" t="str">
        <f t="shared" si="0"/>
        <v>February</v>
      </c>
      <c r="C28" t="s">
        <v>19</v>
      </c>
      <c r="D28" t="s">
        <v>11</v>
      </c>
      <c r="E28" t="s">
        <v>20</v>
      </c>
      <c r="F28" t="s">
        <v>30</v>
      </c>
      <c r="G28">
        <v>131</v>
      </c>
      <c r="H28">
        <v>278637</v>
      </c>
      <c r="I28">
        <v>188504</v>
      </c>
      <c r="J28">
        <v>461</v>
      </c>
      <c r="K28">
        <f>Table1[[#This Row],[Revenue]]-Table1[[#This Row],[Cost]]</f>
        <v>90133</v>
      </c>
      <c r="L28" s="1">
        <f>Table1[[#This Row],[profit]]/Table1[[#This Row],[Revenue]]</f>
        <v>0.32347821717862307</v>
      </c>
    </row>
    <row r="29" spans="1:12" x14ac:dyDescent="0.35">
      <c r="A29" t="s">
        <v>45</v>
      </c>
      <c r="B29" t="str">
        <f t="shared" si="0"/>
        <v>January</v>
      </c>
      <c r="C29" t="s">
        <v>19</v>
      </c>
      <c r="D29" t="s">
        <v>11</v>
      </c>
      <c r="E29" t="s">
        <v>12</v>
      </c>
      <c r="F29" t="s">
        <v>17</v>
      </c>
      <c r="G29">
        <v>157</v>
      </c>
      <c r="H29">
        <v>239111</v>
      </c>
      <c r="I29">
        <v>176497</v>
      </c>
      <c r="J29">
        <v>889</v>
      </c>
      <c r="K29">
        <f>Table1[[#This Row],[Revenue]]-Table1[[#This Row],[Cost]]</f>
        <v>62614</v>
      </c>
      <c r="L29" s="1">
        <f>Table1[[#This Row],[profit]]/Table1[[#This Row],[Revenue]]</f>
        <v>0.26186164584648969</v>
      </c>
    </row>
    <row r="30" spans="1:12" x14ac:dyDescent="0.35">
      <c r="A30" t="s">
        <v>45</v>
      </c>
      <c r="B30" t="str">
        <f t="shared" si="0"/>
        <v>January</v>
      </c>
      <c r="C30" t="s">
        <v>42</v>
      </c>
      <c r="D30" t="s">
        <v>11</v>
      </c>
      <c r="E30" t="s">
        <v>29</v>
      </c>
      <c r="F30" t="s">
        <v>30</v>
      </c>
      <c r="G30">
        <v>108</v>
      </c>
      <c r="H30">
        <v>241272</v>
      </c>
      <c r="I30">
        <v>186214</v>
      </c>
      <c r="J30">
        <v>978</v>
      </c>
      <c r="K30">
        <f>Table1[[#This Row],[Revenue]]-Table1[[#This Row],[Cost]]</f>
        <v>55058</v>
      </c>
      <c r="L30" s="1">
        <f>Table1[[#This Row],[profit]]/Table1[[#This Row],[Revenue]]</f>
        <v>0.22819887927318544</v>
      </c>
    </row>
    <row r="31" spans="1:12" x14ac:dyDescent="0.35">
      <c r="A31" t="s">
        <v>46</v>
      </c>
      <c r="B31" t="str">
        <f t="shared" si="0"/>
        <v>January</v>
      </c>
      <c r="C31" t="s">
        <v>10</v>
      </c>
      <c r="D31" t="s">
        <v>11</v>
      </c>
      <c r="E31" t="s">
        <v>12</v>
      </c>
      <c r="F31" t="s">
        <v>17</v>
      </c>
      <c r="G31">
        <v>128</v>
      </c>
      <c r="H31">
        <v>316544</v>
      </c>
      <c r="I31">
        <v>191433</v>
      </c>
      <c r="J31">
        <v>789</v>
      </c>
      <c r="K31">
        <f>Table1[[#This Row],[Revenue]]-Table1[[#This Row],[Cost]]</f>
        <v>125111</v>
      </c>
      <c r="L31" s="1">
        <f>Table1[[#This Row],[profit]]/Table1[[#This Row],[Revenue]]</f>
        <v>0.39524047209866559</v>
      </c>
    </row>
    <row r="32" spans="1:12" x14ac:dyDescent="0.35">
      <c r="A32" t="s">
        <v>47</v>
      </c>
      <c r="B32" t="str">
        <f t="shared" si="0"/>
        <v>February</v>
      </c>
      <c r="C32" t="s">
        <v>24</v>
      </c>
      <c r="D32" t="s">
        <v>11</v>
      </c>
      <c r="E32" t="s">
        <v>29</v>
      </c>
      <c r="F32" t="s">
        <v>30</v>
      </c>
      <c r="G32">
        <v>123</v>
      </c>
      <c r="H32">
        <v>204795</v>
      </c>
      <c r="I32">
        <v>134152</v>
      </c>
      <c r="J32">
        <v>385</v>
      </c>
      <c r="K32">
        <f>Table1[[#This Row],[Revenue]]-Table1[[#This Row],[Cost]]</f>
        <v>70643</v>
      </c>
      <c r="L32" s="1">
        <f>Table1[[#This Row],[profit]]/Table1[[#This Row],[Revenue]]</f>
        <v>0.34494494494494493</v>
      </c>
    </row>
    <row r="33" spans="1:12" x14ac:dyDescent="0.35">
      <c r="A33" t="s">
        <v>32</v>
      </c>
      <c r="B33" t="str">
        <f t="shared" si="0"/>
        <v>January</v>
      </c>
      <c r="C33" t="s">
        <v>10</v>
      </c>
      <c r="D33" t="s">
        <v>11</v>
      </c>
      <c r="E33" t="s">
        <v>12</v>
      </c>
      <c r="F33" t="s">
        <v>30</v>
      </c>
      <c r="G33">
        <v>123</v>
      </c>
      <c r="H33">
        <v>216849</v>
      </c>
      <c r="I33">
        <v>166174</v>
      </c>
      <c r="J33">
        <v>510</v>
      </c>
      <c r="K33">
        <f>Table1[[#This Row],[Revenue]]-Table1[[#This Row],[Cost]]</f>
        <v>50675</v>
      </c>
      <c r="L33" s="1">
        <f>Table1[[#This Row],[profit]]/Table1[[#This Row],[Revenue]]</f>
        <v>0.23368795797997685</v>
      </c>
    </row>
    <row r="34" spans="1:12" x14ac:dyDescent="0.35">
      <c r="A34" t="s">
        <v>23</v>
      </c>
      <c r="B34" t="str">
        <f t="shared" si="0"/>
        <v>March</v>
      </c>
      <c r="C34" t="s">
        <v>24</v>
      </c>
      <c r="D34" t="s">
        <v>11</v>
      </c>
      <c r="E34" t="s">
        <v>20</v>
      </c>
      <c r="F34" t="s">
        <v>30</v>
      </c>
      <c r="G34">
        <v>82</v>
      </c>
      <c r="H34">
        <v>189256</v>
      </c>
      <c r="I34">
        <v>155041</v>
      </c>
      <c r="J34">
        <v>848</v>
      </c>
      <c r="K34">
        <f>Table1[[#This Row],[Revenue]]-Table1[[#This Row],[Cost]]</f>
        <v>34215</v>
      </c>
      <c r="L34" s="1">
        <f>Table1[[#This Row],[profit]]/Table1[[#This Row],[Revenue]]</f>
        <v>0.18078687069366361</v>
      </c>
    </row>
    <row r="35" spans="1:12" x14ac:dyDescent="0.35">
      <c r="A35" t="s">
        <v>31</v>
      </c>
      <c r="B35" t="str">
        <f t="shared" si="0"/>
        <v>February</v>
      </c>
      <c r="C35" t="s">
        <v>42</v>
      </c>
      <c r="D35" t="s">
        <v>11</v>
      </c>
      <c r="E35" t="s">
        <v>16</v>
      </c>
      <c r="F35" t="s">
        <v>30</v>
      </c>
      <c r="G35">
        <v>117</v>
      </c>
      <c r="H35">
        <v>203814</v>
      </c>
      <c r="I35">
        <v>155005</v>
      </c>
      <c r="J35">
        <v>877</v>
      </c>
      <c r="K35">
        <f>Table1[[#This Row],[Revenue]]-Table1[[#This Row],[Cost]]</f>
        <v>48809</v>
      </c>
      <c r="L35" s="1">
        <f>Table1[[#This Row],[profit]]/Table1[[#This Row],[Revenue]]</f>
        <v>0.23947815164807129</v>
      </c>
    </row>
    <row r="36" spans="1:12" x14ac:dyDescent="0.35">
      <c r="A36" t="s">
        <v>35</v>
      </c>
      <c r="B36" t="str">
        <f t="shared" si="0"/>
        <v>February</v>
      </c>
      <c r="C36" t="s">
        <v>15</v>
      </c>
      <c r="D36" t="s">
        <v>11</v>
      </c>
      <c r="E36" t="s">
        <v>29</v>
      </c>
      <c r="F36" t="s">
        <v>17</v>
      </c>
      <c r="G36">
        <v>163</v>
      </c>
      <c r="H36">
        <v>295356</v>
      </c>
      <c r="I36">
        <v>203656</v>
      </c>
      <c r="J36">
        <v>336</v>
      </c>
      <c r="K36">
        <f>Table1[[#This Row],[Revenue]]-Table1[[#This Row],[Cost]]</f>
        <v>91700</v>
      </c>
      <c r="L36" s="1">
        <f>Table1[[#This Row],[profit]]/Table1[[#This Row],[Revenue]]</f>
        <v>0.31047278538441747</v>
      </c>
    </row>
    <row r="37" spans="1:12" x14ac:dyDescent="0.35">
      <c r="A37" t="s">
        <v>48</v>
      </c>
      <c r="B37" t="str">
        <f t="shared" si="0"/>
        <v>January</v>
      </c>
      <c r="C37" t="s">
        <v>22</v>
      </c>
      <c r="D37" t="s">
        <v>11</v>
      </c>
      <c r="E37" t="s">
        <v>12</v>
      </c>
      <c r="F37" t="s">
        <v>17</v>
      </c>
      <c r="G37">
        <v>159</v>
      </c>
      <c r="H37">
        <v>256944</v>
      </c>
      <c r="I37">
        <v>208079</v>
      </c>
      <c r="J37">
        <v>340</v>
      </c>
      <c r="K37">
        <f>Table1[[#This Row],[Revenue]]-Table1[[#This Row],[Cost]]</f>
        <v>48865</v>
      </c>
      <c r="L37" s="1">
        <f>Table1[[#This Row],[profit]]/Table1[[#This Row],[Revenue]]</f>
        <v>0.19017762625319135</v>
      </c>
    </row>
    <row r="38" spans="1:12" x14ac:dyDescent="0.35">
      <c r="A38" t="s">
        <v>49</v>
      </c>
      <c r="B38" t="str">
        <f t="shared" si="0"/>
        <v>January</v>
      </c>
      <c r="C38" t="s">
        <v>15</v>
      </c>
      <c r="D38" t="s">
        <v>11</v>
      </c>
      <c r="E38" t="s">
        <v>29</v>
      </c>
      <c r="F38" t="s">
        <v>30</v>
      </c>
      <c r="G38">
        <v>84</v>
      </c>
      <c r="H38">
        <v>131124</v>
      </c>
      <c r="I38">
        <v>89867</v>
      </c>
      <c r="J38">
        <v>364</v>
      </c>
      <c r="K38">
        <f>Table1[[#This Row],[Revenue]]-Table1[[#This Row],[Cost]]</f>
        <v>41257</v>
      </c>
      <c r="L38" s="1">
        <f>Table1[[#This Row],[profit]]/Table1[[#This Row],[Revenue]]</f>
        <v>0.31464110307800253</v>
      </c>
    </row>
    <row r="39" spans="1:12" x14ac:dyDescent="0.35">
      <c r="A39" t="s">
        <v>50</v>
      </c>
      <c r="B39" t="str">
        <f t="shared" si="0"/>
        <v>February</v>
      </c>
      <c r="C39" t="s">
        <v>19</v>
      </c>
      <c r="D39" t="s">
        <v>11</v>
      </c>
      <c r="E39" t="s">
        <v>16</v>
      </c>
      <c r="F39" t="s">
        <v>17</v>
      </c>
      <c r="G39">
        <v>51</v>
      </c>
      <c r="H39">
        <v>107610</v>
      </c>
      <c r="I39">
        <v>81029</v>
      </c>
      <c r="J39">
        <v>203</v>
      </c>
      <c r="K39">
        <f>Table1[[#This Row],[Revenue]]-Table1[[#This Row],[Cost]]</f>
        <v>26581</v>
      </c>
      <c r="L39" s="1">
        <f>Table1[[#This Row],[profit]]/Table1[[#This Row],[Revenue]]</f>
        <v>0.24701235944614813</v>
      </c>
    </row>
    <row r="40" spans="1:12" x14ac:dyDescent="0.35">
      <c r="A40" t="s">
        <v>44</v>
      </c>
      <c r="B40" t="str">
        <f t="shared" si="0"/>
        <v>January</v>
      </c>
      <c r="C40" t="s">
        <v>42</v>
      </c>
      <c r="D40" t="s">
        <v>11</v>
      </c>
      <c r="E40" t="s">
        <v>20</v>
      </c>
      <c r="F40" t="s">
        <v>30</v>
      </c>
      <c r="G40">
        <v>159</v>
      </c>
      <c r="H40">
        <v>295899</v>
      </c>
      <c r="I40">
        <v>242751</v>
      </c>
      <c r="J40">
        <v>740</v>
      </c>
      <c r="K40">
        <f>Table1[[#This Row],[Revenue]]-Table1[[#This Row],[Cost]]</f>
        <v>53148</v>
      </c>
      <c r="L40" s="1">
        <f>Table1[[#This Row],[profit]]/Table1[[#This Row],[Revenue]]</f>
        <v>0.17961534172133059</v>
      </c>
    </row>
    <row r="41" spans="1:12" x14ac:dyDescent="0.35">
      <c r="A41" t="s">
        <v>51</v>
      </c>
      <c r="B41" t="str">
        <f t="shared" si="0"/>
        <v>January</v>
      </c>
      <c r="C41" t="s">
        <v>15</v>
      </c>
      <c r="D41" t="s">
        <v>11</v>
      </c>
      <c r="E41" t="s">
        <v>16</v>
      </c>
      <c r="F41" t="s">
        <v>17</v>
      </c>
      <c r="G41">
        <v>124</v>
      </c>
      <c r="H41">
        <v>191084</v>
      </c>
      <c r="I41">
        <v>133920</v>
      </c>
      <c r="J41">
        <v>686</v>
      </c>
      <c r="K41">
        <f>Table1[[#This Row],[Revenue]]-Table1[[#This Row],[Cost]]</f>
        <v>57164</v>
      </c>
      <c r="L41" s="1">
        <f>Table1[[#This Row],[profit]]/Table1[[#This Row],[Revenue]]</f>
        <v>0.29915639195327709</v>
      </c>
    </row>
    <row r="42" spans="1:12" x14ac:dyDescent="0.35">
      <c r="A42" t="s">
        <v>52</v>
      </c>
      <c r="B42" t="str">
        <f t="shared" si="0"/>
        <v>February</v>
      </c>
      <c r="C42" t="s">
        <v>19</v>
      </c>
      <c r="D42" t="s">
        <v>11</v>
      </c>
      <c r="E42" t="s">
        <v>16</v>
      </c>
      <c r="F42" t="s">
        <v>30</v>
      </c>
      <c r="G42">
        <v>169</v>
      </c>
      <c r="H42">
        <v>372983</v>
      </c>
      <c r="I42">
        <v>313216</v>
      </c>
      <c r="J42">
        <v>691</v>
      </c>
      <c r="K42">
        <f>Table1[[#This Row],[Revenue]]-Table1[[#This Row],[Cost]]</f>
        <v>59767</v>
      </c>
      <c r="L42" s="1">
        <f>Table1[[#This Row],[profit]]/Table1[[#This Row],[Revenue]]</f>
        <v>0.1602405471563047</v>
      </c>
    </row>
    <row r="43" spans="1:12" x14ac:dyDescent="0.35">
      <c r="A43" t="s">
        <v>53</v>
      </c>
      <c r="B43" t="str">
        <f t="shared" si="0"/>
        <v>January</v>
      </c>
      <c r="C43" t="s">
        <v>22</v>
      </c>
      <c r="D43" t="s">
        <v>11</v>
      </c>
      <c r="E43" t="s">
        <v>29</v>
      </c>
      <c r="F43" t="s">
        <v>30</v>
      </c>
      <c r="G43">
        <v>59</v>
      </c>
      <c r="H43">
        <v>107380</v>
      </c>
      <c r="I43">
        <v>84969</v>
      </c>
      <c r="J43">
        <v>557</v>
      </c>
      <c r="K43">
        <f>Table1[[#This Row],[Revenue]]-Table1[[#This Row],[Cost]]</f>
        <v>22411</v>
      </c>
      <c r="L43" s="1">
        <f>Table1[[#This Row],[profit]]/Table1[[#This Row],[Revenue]]</f>
        <v>0.20870739430061463</v>
      </c>
    </row>
    <row r="44" spans="1:12" x14ac:dyDescent="0.35">
      <c r="A44" t="s">
        <v>54</v>
      </c>
      <c r="B44" t="str">
        <f t="shared" si="0"/>
        <v>February</v>
      </c>
      <c r="C44" t="s">
        <v>24</v>
      </c>
      <c r="D44" t="s">
        <v>11</v>
      </c>
      <c r="E44" t="s">
        <v>12</v>
      </c>
      <c r="F44" t="s">
        <v>30</v>
      </c>
      <c r="G44">
        <v>129</v>
      </c>
      <c r="H44">
        <v>255678</v>
      </c>
      <c r="I44">
        <v>184011</v>
      </c>
      <c r="J44">
        <v>514</v>
      </c>
      <c r="K44">
        <f>Table1[[#This Row],[Revenue]]-Table1[[#This Row],[Cost]]</f>
        <v>71667</v>
      </c>
      <c r="L44" s="1">
        <f>Table1[[#This Row],[profit]]/Table1[[#This Row],[Revenue]]</f>
        <v>0.28030178584000187</v>
      </c>
    </row>
    <row r="45" spans="1:12" x14ac:dyDescent="0.35">
      <c r="A45" t="s">
        <v>55</v>
      </c>
      <c r="B45" t="str">
        <f t="shared" si="0"/>
        <v>February</v>
      </c>
      <c r="C45" t="s">
        <v>19</v>
      </c>
      <c r="D45" t="s">
        <v>11</v>
      </c>
      <c r="E45" t="s">
        <v>12</v>
      </c>
      <c r="F45" t="s">
        <v>13</v>
      </c>
      <c r="G45">
        <v>137</v>
      </c>
      <c r="H45">
        <v>299893</v>
      </c>
      <c r="I45">
        <v>206309</v>
      </c>
      <c r="J45">
        <v>846</v>
      </c>
      <c r="K45">
        <f>Table1[[#This Row],[Revenue]]-Table1[[#This Row],[Cost]]</f>
        <v>93584</v>
      </c>
      <c r="L45" s="1">
        <f>Table1[[#This Row],[profit]]/Table1[[#This Row],[Revenue]]</f>
        <v>0.31205796734168523</v>
      </c>
    </row>
    <row r="46" spans="1:12" x14ac:dyDescent="0.35">
      <c r="A46" t="s">
        <v>45</v>
      </c>
      <c r="B46" t="str">
        <f t="shared" si="0"/>
        <v>January</v>
      </c>
      <c r="C46" t="s">
        <v>10</v>
      </c>
      <c r="D46" t="s">
        <v>11</v>
      </c>
      <c r="E46" t="s">
        <v>16</v>
      </c>
      <c r="F46" t="s">
        <v>17</v>
      </c>
      <c r="G46">
        <v>176</v>
      </c>
      <c r="H46">
        <v>292512</v>
      </c>
      <c r="I46">
        <v>194381</v>
      </c>
      <c r="J46">
        <v>620</v>
      </c>
      <c r="K46">
        <f>Table1[[#This Row],[Revenue]]-Table1[[#This Row],[Cost]]</f>
        <v>98131</v>
      </c>
      <c r="L46" s="1">
        <f>Table1[[#This Row],[profit]]/Table1[[#This Row],[Revenue]]</f>
        <v>0.3354768351383875</v>
      </c>
    </row>
    <row r="47" spans="1:12" x14ac:dyDescent="0.35">
      <c r="A47" t="s">
        <v>52</v>
      </c>
      <c r="B47" t="str">
        <f t="shared" si="0"/>
        <v>February</v>
      </c>
      <c r="C47" t="s">
        <v>15</v>
      </c>
      <c r="D47" t="s">
        <v>11</v>
      </c>
      <c r="E47" t="s">
        <v>20</v>
      </c>
      <c r="F47" t="s">
        <v>13</v>
      </c>
      <c r="G47">
        <v>99</v>
      </c>
      <c r="H47">
        <v>177210</v>
      </c>
      <c r="I47">
        <v>125198</v>
      </c>
      <c r="J47">
        <v>854</v>
      </c>
      <c r="K47">
        <f>Table1[[#This Row],[Revenue]]-Table1[[#This Row],[Cost]]</f>
        <v>52012</v>
      </c>
      <c r="L47" s="1">
        <f>Table1[[#This Row],[profit]]/Table1[[#This Row],[Revenue]]</f>
        <v>0.2935048812143784</v>
      </c>
    </row>
    <row r="48" spans="1:12" x14ac:dyDescent="0.35">
      <c r="A48" t="s">
        <v>45</v>
      </c>
      <c r="B48" t="str">
        <f t="shared" si="0"/>
        <v>January</v>
      </c>
      <c r="C48" t="s">
        <v>42</v>
      </c>
      <c r="D48" t="s">
        <v>11</v>
      </c>
      <c r="E48" t="s">
        <v>20</v>
      </c>
      <c r="F48" t="s">
        <v>13</v>
      </c>
      <c r="G48">
        <v>59</v>
      </c>
      <c r="H48">
        <v>119534</v>
      </c>
      <c r="I48">
        <v>96265</v>
      </c>
      <c r="J48">
        <v>355</v>
      </c>
      <c r="K48">
        <f>Table1[[#This Row],[Revenue]]-Table1[[#This Row],[Cost]]</f>
        <v>23269</v>
      </c>
      <c r="L48" s="1">
        <f>Table1[[#This Row],[profit]]/Table1[[#This Row],[Revenue]]</f>
        <v>0.19466427961918784</v>
      </c>
    </row>
    <row r="49" spans="1:12" x14ac:dyDescent="0.35">
      <c r="A49" t="s">
        <v>39</v>
      </c>
      <c r="B49" t="str">
        <f t="shared" si="0"/>
        <v>January</v>
      </c>
      <c r="C49" t="s">
        <v>22</v>
      </c>
      <c r="D49" t="s">
        <v>11</v>
      </c>
      <c r="E49" t="s">
        <v>16</v>
      </c>
      <c r="F49" t="s">
        <v>30</v>
      </c>
      <c r="G49">
        <v>157</v>
      </c>
      <c r="H49">
        <v>264859</v>
      </c>
      <c r="I49">
        <v>172778</v>
      </c>
      <c r="J49">
        <v>468</v>
      </c>
      <c r="K49">
        <f>Table1[[#This Row],[Revenue]]-Table1[[#This Row],[Cost]]</f>
        <v>92081</v>
      </c>
      <c r="L49" s="1">
        <f>Table1[[#This Row],[profit]]/Table1[[#This Row],[Revenue]]</f>
        <v>0.34766045329779244</v>
      </c>
    </row>
    <row r="50" spans="1:12" x14ac:dyDescent="0.35">
      <c r="A50" t="s">
        <v>35</v>
      </c>
      <c r="B50" t="str">
        <f t="shared" si="0"/>
        <v>February</v>
      </c>
      <c r="C50" t="s">
        <v>10</v>
      </c>
      <c r="D50" t="s">
        <v>11</v>
      </c>
      <c r="E50" t="s">
        <v>12</v>
      </c>
      <c r="F50" t="s">
        <v>30</v>
      </c>
      <c r="G50">
        <v>159</v>
      </c>
      <c r="H50">
        <v>288585</v>
      </c>
      <c r="I50">
        <v>201480</v>
      </c>
      <c r="J50">
        <v>782</v>
      </c>
      <c r="K50">
        <f>Table1[[#This Row],[Revenue]]-Table1[[#This Row],[Cost]]</f>
        <v>87105</v>
      </c>
      <c r="L50" s="1">
        <f>Table1[[#This Row],[profit]]/Table1[[#This Row],[Revenue]]</f>
        <v>0.30183481469930867</v>
      </c>
    </row>
    <row r="51" spans="1:12" x14ac:dyDescent="0.35">
      <c r="A51" t="s">
        <v>45</v>
      </c>
      <c r="B51" t="str">
        <f t="shared" si="0"/>
        <v>January</v>
      </c>
      <c r="C51" t="s">
        <v>10</v>
      </c>
      <c r="D51" t="s">
        <v>11</v>
      </c>
      <c r="E51" t="s">
        <v>16</v>
      </c>
      <c r="F51" t="s">
        <v>30</v>
      </c>
      <c r="G51">
        <v>177</v>
      </c>
      <c r="H51">
        <v>341610</v>
      </c>
      <c r="I51">
        <v>225415</v>
      </c>
      <c r="J51">
        <v>599</v>
      </c>
      <c r="K51">
        <f>Table1[[#This Row],[Revenue]]-Table1[[#This Row],[Cost]]</f>
        <v>116195</v>
      </c>
      <c r="L51" s="1">
        <f>Table1[[#This Row],[profit]]/Table1[[#This Row],[Revenue]]</f>
        <v>0.34013934018324993</v>
      </c>
    </row>
    <row r="52" spans="1:12" x14ac:dyDescent="0.35">
      <c r="A52" t="s">
        <v>26</v>
      </c>
      <c r="B52" t="str">
        <f t="shared" si="0"/>
        <v>February</v>
      </c>
      <c r="C52" t="s">
        <v>19</v>
      </c>
      <c r="D52" t="s">
        <v>11</v>
      </c>
      <c r="E52" t="s">
        <v>12</v>
      </c>
      <c r="F52" t="s">
        <v>17</v>
      </c>
      <c r="G52">
        <v>106</v>
      </c>
      <c r="H52">
        <v>170872</v>
      </c>
      <c r="I52">
        <v>131952</v>
      </c>
      <c r="J52">
        <v>971</v>
      </c>
      <c r="K52">
        <f>Table1[[#This Row],[Revenue]]-Table1[[#This Row],[Cost]]</f>
        <v>38920</v>
      </c>
      <c r="L52" s="1">
        <f>Table1[[#This Row],[profit]]/Table1[[#This Row],[Revenue]]</f>
        <v>0.22777283580691979</v>
      </c>
    </row>
    <row r="53" spans="1:12" x14ac:dyDescent="0.35">
      <c r="A53" t="s">
        <v>55</v>
      </c>
      <c r="B53" t="str">
        <f t="shared" si="0"/>
        <v>February</v>
      </c>
      <c r="C53" t="s">
        <v>19</v>
      </c>
      <c r="D53" t="s">
        <v>11</v>
      </c>
      <c r="E53" t="s">
        <v>12</v>
      </c>
      <c r="F53" t="s">
        <v>30</v>
      </c>
      <c r="G53">
        <v>111</v>
      </c>
      <c r="H53">
        <v>234543</v>
      </c>
      <c r="I53">
        <v>164906</v>
      </c>
      <c r="J53">
        <v>662</v>
      </c>
      <c r="K53">
        <f>Table1[[#This Row],[Revenue]]-Table1[[#This Row],[Cost]]</f>
        <v>69637</v>
      </c>
      <c r="L53" s="1">
        <f>Table1[[#This Row],[profit]]/Table1[[#This Row],[Revenue]]</f>
        <v>0.29690504513031724</v>
      </c>
    </row>
    <row r="54" spans="1:12" x14ac:dyDescent="0.35">
      <c r="A54" t="s">
        <v>44</v>
      </c>
      <c r="B54" t="str">
        <f t="shared" si="0"/>
        <v>January</v>
      </c>
      <c r="C54" t="s">
        <v>42</v>
      </c>
      <c r="D54" t="s">
        <v>11</v>
      </c>
      <c r="E54" t="s">
        <v>20</v>
      </c>
      <c r="F54" t="s">
        <v>13</v>
      </c>
      <c r="G54">
        <v>110</v>
      </c>
      <c r="H54">
        <v>271480</v>
      </c>
      <c r="I54">
        <v>198010</v>
      </c>
      <c r="J54">
        <v>915</v>
      </c>
      <c r="K54">
        <f>Table1[[#This Row],[Revenue]]-Table1[[#This Row],[Cost]]</f>
        <v>73470</v>
      </c>
      <c r="L54" s="1">
        <f>Table1[[#This Row],[profit]]/Table1[[#This Row],[Revenue]]</f>
        <v>0.27062767054663328</v>
      </c>
    </row>
    <row r="55" spans="1:12" x14ac:dyDescent="0.35">
      <c r="A55" t="s">
        <v>25</v>
      </c>
      <c r="B55" t="str">
        <f t="shared" si="0"/>
        <v>February</v>
      </c>
      <c r="C55" t="s">
        <v>24</v>
      </c>
      <c r="D55" t="s">
        <v>11</v>
      </c>
      <c r="E55" t="s">
        <v>29</v>
      </c>
      <c r="F55" t="s">
        <v>17</v>
      </c>
      <c r="G55">
        <v>135</v>
      </c>
      <c r="H55">
        <v>290925</v>
      </c>
      <c r="I55">
        <v>187560</v>
      </c>
      <c r="J55">
        <v>850</v>
      </c>
      <c r="K55">
        <f>Table1[[#This Row],[Revenue]]-Table1[[#This Row],[Cost]]</f>
        <v>103365</v>
      </c>
      <c r="L55" s="1">
        <f>Table1[[#This Row],[profit]]/Table1[[#This Row],[Revenue]]</f>
        <v>0.35529775715390566</v>
      </c>
    </row>
    <row r="56" spans="1:12" x14ac:dyDescent="0.35">
      <c r="A56" t="s">
        <v>48</v>
      </c>
      <c r="B56" t="str">
        <f t="shared" si="0"/>
        <v>January</v>
      </c>
      <c r="C56" t="s">
        <v>22</v>
      </c>
      <c r="D56" t="s">
        <v>11</v>
      </c>
      <c r="E56" t="s">
        <v>12</v>
      </c>
      <c r="F56" t="s">
        <v>30</v>
      </c>
      <c r="G56">
        <v>66</v>
      </c>
      <c r="H56">
        <v>108372</v>
      </c>
      <c r="I56">
        <v>72617</v>
      </c>
      <c r="J56">
        <v>255</v>
      </c>
      <c r="K56">
        <f>Table1[[#This Row],[Revenue]]-Table1[[#This Row],[Cost]]</f>
        <v>35755</v>
      </c>
      <c r="L56" s="1">
        <f>Table1[[#This Row],[profit]]/Table1[[#This Row],[Revenue]]</f>
        <v>0.3299283947883217</v>
      </c>
    </row>
    <row r="57" spans="1:12" x14ac:dyDescent="0.35">
      <c r="A57" t="s">
        <v>56</v>
      </c>
      <c r="B57" t="str">
        <f t="shared" si="0"/>
        <v>February</v>
      </c>
      <c r="C57" t="s">
        <v>22</v>
      </c>
      <c r="D57" t="s">
        <v>11</v>
      </c>
      <c r="E57" t="s">
        <v>16</v>
      </c>
      <c r="F57" t="s">
        <v>30</v>
      </c>
      <c r="G57">
        <v>62</v>
      </c>
      <c r="H57">
        <v>144894</v>
      </c>
      <c r="I57">
        <v>98504</v>
      </c>
      <c r="J57">
        <v>997</v>
      </c>
      <c r="K57">
        <f>Table1[[#This Row],[Revenue]]-Table1[[#This Row],[Cost]]</f>
        <v>46390</v>
      </c>
      <c r="L57" s="1">
        <f>Table1[[#This Row],[profit]]/Table1[[#This Row],[Revenue]]</f>
        <v>0.32016508620094691</v>
      </c>
    </row>
    <row r="58" spans="1:12" x14ac:dyDescent="0.35">
      <c r="A58" t="s">
        <v>55</v>
      </c>
      <c r="B58" t="str">
        <f t="shared" si="0"/>
        <v>February</v>
      </c>
      <c r="C58" t="s">
        <v>15</v>
      </c>
      <c r="D58" t="s">
        <v>11</v>
      </c>
      <c r="E58" t="s">
        <v>20</v>
      </c>
      <c r="F58" t="s">
        <v>17</v>
      </c>
      <c r="G58">
        <v>65</v>
      </c>
      <c r="H58">
        <v>133380</v>
      </c>
      <c r="I58">
        <v>105518</v>
      </c>
      <c r="J58">
        <v>591</v>
      </c>
      <c r="K58">
        <f>Table1[[#This Row],[Revenue]]-Table1[[#This Row],[Cost]]</f>
        <v>27862</v>
      </c>
      <c r="L58" s="1">
        <f>Table1[[#This Row],[profit]]/Table1[[#This Row],[Revenue]]</f>
        <v>0.20889188783925627</v>
      </c>
    </row>
    <row r="59" spans="1:12" x14ac:dyDescent="0.35">
      <c r="A59" t="s">
        <v>57</v>
      </c>
      <c r="B59" t="str">
        <f t="shared" si="0"/>
        <v>February</v>
      </c>
      <c r="C59" t="s">
        <v>19</v>
      </c>
      <c r="D59" t="s">
        <v>11</v>
      </c>
      <c r="E59" t="s">
        <v>16</v>
      </c>
      <c r="F59" t="s">
        <v>17</v>
      </c>
      <c r="G59">
        <v>130</v>
      </c>
      <c r="H59">
        <v>301210</v>
      </c>
      <c r="I59">
        <v>252741</v>
      </c>
      <c r="J59">
        <v>355</v>
      </c>
      <c r="K59">
        <f>Table1[[#This Row],[Revenue]]-Table1[[#This Row],[Cost]]</f>
        <v>48469</v>
      </c>
      <c r="L59" s="1">
        <f>Table1[[#This Row],[profit]]/Table1[[#This Row],[Revenue]]</f>
        <v>0.16091431227382888</v>
      </c>
    </row>
    <row r="60" spans="1:12" x14ac:dyDescent="0.35">
      <c r="A60" t="s">
        <v>58</v>
      </c>
      <c r="B60" t="str">
        <f t="shared" si="0"/>
        <v>January</v>
      </c>
      <c r="C60" t="s">
        <v>19</v>
      </c>
      <c r="D60" t="s">
        <v>11</v>
      </c>
      <c r="E60" t="s">
        <v>12</v>
      </c>
      <c r="F60" t="s">
        <v>30</v>
      </c>
      <c r="G60">
        <v>182</v>
      </c>
      <c r="H60">
        <v>424424</v>
      </c>
      <c r="I60">
        <v>357097</v>
      </c>
      <c r="J60">
        <v>604</v>
      </c>
      <c r="K60">
        <f>Table1[[#This Row],[Revenue]]-Table1[[#This Row],[Cost]]</f>
        <v>67327</v>
      </c>
      <c r="L60" s="1">
        <f>Table1[[#This Row],[profit]]/Table1[[#This Row],[Revenue]]</f>
        <v>0.1586314628767459</v>
      </c>
    </row>
    <row r="61" spans="1:12" x14ac:dyDescent="0.35">
      <c r="A61" t="s">
        <v>50</v>
      </c>
      <c r="B61" t="str">
        <f t="shared" si="0"/>
        <v>February</v>
      </c>
      <c r="C61" t="s">
        <v>22</v>
      </c>
      <c r="D61" t="s">
        <v>11</v>
      </c>
      <c r="E61" t="s">
        <v>20</v>
      </c>
      <c r="F61" t="s">
        <v>13</v>
      </c>
      <c r="G61">
        <v>183</v>
      </c>
      <c r="H61">
        <v>290970</v>
      </c>
      <c r="I61">
        <v>203505</v>
      </c>
      <c r="J61">
        <v>474</v>
      </c>
      <c r="K61">
        <f>Table1[[#This Row],[Revenue]]-Table1[[#This Row],[Cost]]</f>
        <v>87465</v>
      </c>
      <c r="L61" s="1">
        <f>Table1[[#This Row],[profit]]/Table1[[#This Row],[Revenue]]</f>
        <v>0.30059799979379315</v>
      </c>
    </row>
    <row r="62" spans="1:12" x14ac:dyDescent="0.35">
      <c r="A62" t="s">
        <v>59</v>
      </c>
      <c r="B62" t="str">
        <f t="shared" si="0"/>
        <v>January</v>
      </c>
      <c r="C62" t="s">
        <v>42</v>
      </c>
      <c r="D62" t="s">
        <v>11</v>
      </c>
      <c r="E62" t="s">
        <v>20</v>
      </c>
      <c r="F62" t="s">
        <v>13</v>
      </c>
      <c r="G62">
        <v>189</v>
      </c>
      <c r="H62">
        <v>471933</v>
      </c>
      <c r="I62">
        <v>301220</v>
      </c>
      <c r="J62">
        <v>372</v>
      </c>
      <c r="K62">
        <f>Table1[[#This Row],[Revenue]]-Table1[[#This Row],[Cost]]</f>
        <v>170713</v>
      </c>
      <c r="L62" s="1">
        <f>Table1[[#This Row],[profit]]/Table1[[#This Row],[Revenue]]</f>
        <v>0.36173143221601373</v>
      </c>
    </row>
    <row r="63" spans="1:12" x14ac:dyDescent="0.35">
      <c r="A63" t="s">
        <v>60</v>
      </c>
      <c r="B63" t="str">
        <f t="shared" si="0"/>
        <v>February</v>
      </c>
      <c r="C63" t="s">
        <v>19</v>
      </c>
      <c r="D63" t="s">
        <v>11</v>
      </c>
      <c r="E63" t="s">
        <v>16</v>
      </c>
      <c r="F63" t="s">
        <v>30</v>
      </c>
      <c r="G63">
        <v>85</v>
      </c>
      <c r="H63">
        <v>128350</v>
      </c>
      <c r="I63">
        <v>79975</v>
      </c>
      <c r="J63">
        <v>864</v>
      </c>
      <c r="K63">
        <f>Table1[[#This Row],[Revenue]]-Table1[[#This Row],[Cost]]</f>
        <v>48375</v>
      </c>
      <c r="L63" s="1">
        <f>Table1[[#This Row],[profit]]/Table1[[#This Row],[Revenue]]</f>
        <v>0.3768991040124659</v>
      </c>
    </row>
    <row r="64" spans="1:12" x14ac:dyDescent="0.35">
      <c r="A64" t="s">
        <v>54</v>
      </c>
      <c r="B64" t="str">
        <f t="shared" si="0"/>
        <v>February</v>
      </c>
      <c r="C64" t="s">
        <v>42</v>
      </c>
      <c r="D64" t="s">
        <v>11</v>
      </c>
      <c r="E64" t="s">
        <v>16</v>
      </c>
      <c r="F64" t="s">
        <v>30</v>
      </c>
      <c r="G64">
        <v>150</v>
      </c>
      <c r="H64">
        <v>270900</v>
      </c>
      <c r="I64">
        <v>170216</v>
      </c>
      <c r="J64">
        <v>364</v>
      </c>
      <c r="K64">
        <f>Table1[[#This Row],[Revenue]]-Table1[[#This Row],[Cost]]</f>
        <v>100684</v>
      </c>
      <c r="L64" s="1">
        <f>Table1[[#This Row],[profit]]/Table1[[#This Row],[Revenue]]</f>
        <v>0.37166482096714654</v>
      </c>
    </row>
    <row r="65" spans="1:12" x14ac:dyDescent="0.35">
      <c r="A65" t="s">
        <v>61</v>
      </c>
      <c r="B65" t="str">
        <f t="shared" si="0"/>
        <v>January</v>
      </c>
      <c r="C65" t="s">
        <v>24</v>
      </c>
      <c r="D65" t="s">
        <v>11</v>
      </c>
      <c r="E65" t="s">
        <v>29</v>
      </c>
      <c r="F65" t="s">
        <v>30</v>
      </c>
      <c r="G65">
        <v>64</v>
      </c>
      <c r="H65">
        <v>147264</v>
      </c>
      <c r="I65">
        <v>118579</v>
      </c>
      <c r="J65">
        <v>762</v>
      </c>
      <c r="K65">
        <f>Table1[[#This Row],[Revenue]]-Table1[[#This Row],[Cost]]</f>
        <v>28685</v>
      </c>
      <c r="L65" s="1">
        <f>Table1[[#This Row],[profit]]/Table1[[#This Row],[Revenue]]</f>
        <v>0.19478623424598002</v>
      </c>
    </row>
    <row r="66" spans="1:12" x14ac:dyDescent="0.35">
      <c r="A66" t="s">
        <v>18</v>
      </c>
      <c r="B66" t="str">
        <f t="shared" si="0"/>
        <v>February</v>
      </c>
      <c r="C66" t="s">
        <v>24</v>
      </c>
      <c r="D66" t="s">
        <v>11</v>
      </c>
      <c r="E66" t="s">
        <v>29</v>
      </c>
      <c r="F66" t="s">
        <v>17</v>
      </c>
      <c r="G66">
        <v>52</v>
      </c>
      <c r="H66">
        <v>115492</v>
      </c>
      <c r="I66">
        <v>79040</v>
      </c>
      <c r="J66">
        <v>714</v>
      </c>
      <c r="K66">
        <f>Table1[[#This Row],[Revenue]]-Table1[[#This Row],[Cost]]</f>
        <v>36452</v>
      </c>
      <c r="L66" s="1">
        <f>Table1[[#This Row],[profit]]/Table1[[#This Row],[Revenue]]</f>
        <v>0.3156235929761369</v>
      </c>
    </row>
    <row r="67" spans="1:12" x14ac:dyDescent="0.35">
      <c r="A67" t="s">
        <v>26</v>
      </c>
      <c r="B67" t="str">
        <f t="shared" ref="B67:B130" si="1">TEXT(A67,"mmmm")</f>
        <v>February</v>
      </c>
      <c r="C67" t="s">
        <v>15</v>
      </c>
      <c r="D67" t="s">
        <v>11</v>
      </c>
      <c r="E67" t="s">
        <v>29</v>
      </c>
      <c r="F67" t="s">
        <v>17</v>
      </c>
      <c r="G67">
        <v>85</v>
      </c>
      <c r="H67">
        <v>202045</v>
      </c>
      <c r="I67">
        <v>153546</v>
      </c>
      <c r="J67">
        <v>549</v>
      </c>
      <c r="K67">
        <f>Table1[[#This Row],[Revenue]]-Table1[[#This Row],[Cost]]</f>
        <v>48499</v>
      </c>
      <c r="L67" s="1">
        <f>Table1[[#This Row],[profit]]/Table1[[#This Row],[Revenue]]</f>
        <v>0.24004058501818901</v>
      </c>
    </row>
    <row r="68" spans="1:12" x14ac:dyDescent="0.35">
      <c r="A68" t="s">
        <v>33</v>
      </c>
      <c r="B68" t="str">
        <f t="shared" si="1"/>
        <v>January</v>
      </c>
      <c r="C68" t="s">
        <v>24</v>
      </c>
      <c r="D68" t="s">
        <v>11</v>
      </c>
      <c r="E68" t="s">
        <v>16</v>
      </c>
      <c r="F68" t="s">
        <v>17</v>
      </c>
      <c r="G68">
        <v>59</v>
      </c>
      <c r="H68">
        <v>108560</v>
      </c>
      <c r="I68">
        <v>80664</v>
      </c>
      <c r="J68">
        <v>560</v>
      </c>
      <c r="K68">
        <f>Table1[[#This Row],[Revenue]]-Table1[[#This Row],[Cost]]</f>
        <v>27896</v>
      </c>
      <c r="L68" s="1">
        <f>Table1[[#This Row],[profit]]/Table1[[#This Row],[Revenue]]</f>
        <v>0.25696389093588801</v>
      </c>
    </row>
    <row r="69" spans="1:12" x14ac:dyDescent="0.35">
      <c r="A69" t="s">
        <v>45</v>
      </c>
      <c r="B69" t="str">
        <f t="shared" si="1"/>
        <v>January</v>
      </c>
      <c r="C69" t="s">
        <v>24</v>
      </c>
      <c r="D69" t="s">
        <v>11</v>
      </c>
      <c r="E69" t="s">
        <v>12</v>
      </c>
      <c r="F69" t="s">
        <v>13</v>
      </c>
      <c r="G69">
        <v>85</v>
      </c>
      <c r="H69">
        <v>199410</v>
      </c>
      <c r="I69">
        <v>122075</v>
      </c>
      <c r="J69">
        <v>396</v>
      </c>
      <c r="K69">
        <f>Table1[[#This Row],[Revenue]]-Table1[[#This Row],[Cost]]</f>
        <v>77335</v>
      </c>
      <c r="L69" s="1">
        <f>Table1[[#This Row],[profit]]/Table1[[#This Row],[Revenue]]</f>
        <v>0.387819066245424</v>
      </c>
    </row>
    <row r="70" spans="1:12" x14ac:dyDescent="0.35">
      <c r="A70" t="s">
        <v>47</v>
      </c>
      <c r="B70" t="str">
        <f t="shared" si="1"/>
        <v>February</v>
      </c>
      <c r="C70" t="s">
        <v>22</v>
      </c>
      <c r="D70" t="s">
        <v>11</v>
      </c>
      <c r="E70" t="s">
        <v>16</v>
      </c>
      <c r="F70" t="s">
        <v>17</v>
      </c>
      <c r="G70">
        <v>101</v>
      </c>
      <c r="H70">
        <v>187557</v>
      </c>
      <c r="I70">
        <v>121126</v>
      </c>
      <c r="J70">
        <v>370</v>
      </c>
      <c r="K70">
        <f>Table1[[#This Row],[Revenue]]-Table1[[#This Row],[Cost]]</f>
        <v>66431</v>
      </c>
      <c r="L70" s="1">
        <f>Table1[[#This Row],[profit]]/Table1[[#This Row],[Revenue]]</f>
        <v>0.35419099260491477</v>
      </c>
    </row>
    <row r="71" spans="1:12" x14ac:dyDescent="0.35">
      <c r="A71" t="s">
        <v>62</v>
      </c>
      <c r="B71" t="str">
        <f t="shared" si="1"/>
        <v>January</v>
      </c>
      <c r="C71" t="s">
        <v>42</v>
      </c>
      <c r="D71" t="s">
        <v>11</v>
      </c>
      <c r="E71" t="s">
        <v>29</v>
      </c>
      <c r="F71" t="s">
        <v>17</v>
      </c>
      <c r="G71">
        <v>89</v>
      </c>
      <c r="H71">
        <v>148363</v>
      </c>
      <c r="I71">
        <v>117533</v>
      </c>
      <c r="J71">
        <v>319</v>
      </c>
      <c r="K71">
        <f>Table1[[#This Row],[Revenue]]-Table1[[#This Row],[Cost]]</f>
        <v>30830</v>
      </c>
      <c r="L71" s="1">
        <f>Table1[[#This Row],[profit]]/Table1[[#This Row],[Revenue]]</f>
        <v>0.2078011364019331</v>
      </c>
    </row>
    <row r="72" spans="1:12" x14ac:dyDescent="0.35">
      <c r="A72" t="s">
        <v>63</v>
      </c>
      <c r="B72" t="str">
        <f t="shared" si="1"/>
        <v>January</v>
      </c>
      <c r="C72" t="s">
        <v>10</v>
      </c>
      <c r="D72" t="s">
        <v>11</v>
      </c>
      <c r="E72" t="s">
        <v>12</v>
      </c>
      <c r="F72" t="s">
        <v>17</v>
      </c>
      <c r="G72">
        <v>69</v>
      </c>
      <c r="H72">
        <v>172017</v>
      </c>
      <c r="I72">
        <v>121895</v>
      </c>
      <c r="J72">
        <v>335</v>
      </c>
      <c r="K72">
        <f>Table1[[#This Row],[Revenue]]-Table1[[#This Row],[Cost]]</f>
        <v>50122</v>
      </c>
      <c r="L72" s="1">
        <f>Table1[[#This Row],[profit]]/Table1[[#This Row],[Revenue]]</f>
        <v>0.29137817773824681</v>
      </c>
    </row>
    <row r="73" spans="1:12" x14ac:dyDescent="0.35">
      <c r="A73" t="s">
        <v>64</v>
      </c>
      <c r="B73" t="str">
        <f t="shared" si="1"/>
        <v>February</v>
      </c>
      <c r="C73" t="s">
        <v>15</v>
      </c>
      <c r="D73" t="s">
        <v>11</v>
      </c>
      <c r="E73" t="s">
        <v>12</v>
      </c>
      <c r="F73" t="s">
        <v>17</v>
      </c>
      <c r="G73">
        <v>172</v>
      </c>
      <c r="H73">
        <v>279844</v>
      </c>
      <c r="I73">
        <v>223183</v>
      </c>
      <c r="J73">
        <v>809</v>
      </c>
      <c r="K73">
        <f>Table1[[#This Row],[Revenue]]-Table1[[#This Row],[Cost]]</f>
        <v>56661</v>
      </c>
      <c r="L73" s="1">
        <f>Table1[[#This Row],[profit]]/Table1[[#This Row],[Revenue]]</f>
        <v>0.20247352096167864</v>
      </c>
    </row>
    <row r="74" spans="1:12" x14ac:dyDescent="0.35">
      <c r="A74" t="s">
        <v>65</v>
      </c>
      <c r="B74" t="str">
        <f t="shared" si="1"/>
        <v>January</v>
      </c>
      <c r="C74" t="s">
        <v>22</v>
      </c>
      <c r="D74" t="s">
        <v>11</v>
      </c>
      <c r="E74" t="s">
        <v>12</v>
      </c>
      <c r="F74" t="s">
        <v>17</v>
      </c>
      <c r="G74">
        <v>67</v>
      </c>
      <c r="H74">
        <v>139092</v>
      </c>
      <c r="I74">
        <v>116572</v>
      </c>
      <c r="J74">
        <v>967</v>
      </c>
      <c r="K74">
        <f>Table1[[#This Row],[Revenue]]-Table1[[#This Row],[Cost]]</f>
        <v>22520</v>
      </c>
      <c r="L74" s="1">
        <f>Table1[[#This Row],[profit]]/Table1[[#This Row],[Revenue]]</f>
        <v>0.16190722687142323</v>
      </c>
    </row>
    <row r="75" spans="1:12" x14ac:dyDescent="0.35">
      <c r="A75" t="s">
        <v>44</v>
      </c>
      <c r="B75" t="str">
        <f t="shared" si="1"/>
        <v>January</v>
      </c>
      <c r="C75" t="s">
        <v>24</v>
      </c>
      <c r="D75" t="s">
        <v>11</v>
      </c>
      <c r="E75" t="s">
        <v>29</v>
      </c>
      <c r="F75" t="s">
        <v>17</v>
      </c>
      <c r="G75">
        <v>77</v>
      </c>
      <c r="H75">
        <v>163625</v>
      </c>
      <c r="I75">
        <v>101307</v>
      </c>
      <c r="J75">
        <v>219</v>
      </c>
      <c r="K75">
        <f>Table1[[#This Row],[Revenue]]-Table1[[#This Row],[Cost]]</f>
        <v>62318</v>
      </c>
      <c r="L75" s="1">
        <f>Table1[[#This Row],[profit]]/Table1[[#This Row],[Revenue]]</f>
        <v>0.3808586707410237</v>
      </c>
    </row>
    <row r="76" spans="1:12" x14ac:dyDescent="0.35">
      <c r="A76" t="s">
        <v>66</v>
      </c>
      <c r="B76" t="str">
        <f t="shared" si="1"/>
        <v>February</v>
      </c>
      <c r="C76" t="s">
        <v>42</v>
      </c>
      <c r="D76" t="s">
        <v>11</v>
      </c>
      <c r="E76" t="s">
        <v>12</v>
      </c>
      <c r="F76" t="s">
        <v>13</v>
      </c>
      <c r="G76">
        <v>155</v>
      </c>
      <c r="H76">
        <v>307830</v>
      </c>
      <c r="I76">
        <v>209792</v>
      </c>
      <c r="J76">
        <v>700</v>
      </c>
      <c r="K76">
        <f>Table1[[#This Row],[Revenue]]-Table1[[#This Row],[Cost]]</f>
        <v>98038</v>
      </c>
      <c r="L76" s="1">
        <f>Table1[[#This Row],[profit]]/Table1[[#This Row],[Revenue]]</f>
        <v>0.3184809797615567</v>
      </c>
    </row>
    <row r="77" spans="1:12" x14ac:dyDescent="0.35">
      <c r="A77" t="s">
        <v>50</v>
      </c>
      <c r="B77" t="str">
        <f t="shared" si="1"/>
        <v>February</v>
      </c>
      <c r="C77" t="s">
        <v>24</v>
      </c>
      <c r="D77" t="s">
        <v>11</v>
      </c>
      <c r="E77" t="s">
        <v>16</v>
      </c>
      <c r="F77" t="s">
        <v>30</v>
      </c>
      <c r="G77">
        <v>117</v>
      </c>
      <c r="H77">
        <v>240669</v>
      </c>
      <c r="I77">
        <v>149706</v>
      </c>
      <c r="J77">
        <v>420</v>
      </c>
      <c r="K77">
        <f>Table1[[#This Row],[Revenue]]-Table1[[#This Row],[Cost]]</f>
        <v>90963</v>
      </c>
      <c r="L77" s="1">
        <f>Table1[[#This Row],[profit]]/Table1[[#This Row],[Revenue]]</f>
        <v>0.37795893945626569</v>
      </c>
    </row>
    <row r="78" spans="1:12" x14ac:dyDescent="0.35">
      <c r="A78" t="s">
        <v>48</v>
      </c>
      <c r="B78" t="str">
        <f t="shared" si="1"/>
        <v>January</v>
      </c>
      <c r="C78" t="s">
        <v>24</v>
      </c>
      <c r="D78" t="s">
        <v>11</v>
      </c>
      <c r="E78" t="s">
        <v>16</v>
      </c>
      <c r="F78" t="s">
        <v>17</v>
      </c>
      <c r="G78">
        <v>185</v>
      </c>
      <c r="H78">
        <v>301920</v>
      </c>
      <c r="I78">
        <v>239875</v>
      </c>
      <c r="J78">
        <v>529</v>
      </c>
      <c r="K78">
        <f>Table1[[#This Row],[Revenue]]-Table1[[#This Row],[Cost]]</f>
        <v>62045</v>
      </c>
      <c r="L78" s="1">
        <f>Table1[[#This Row],[profit]]/Table1[[#This Row],[Revenue]]</f>
        <v>0.20550145733969263</v>
      </c>
    </row>
    <row r="79" spans="1:12" x14ac:dyDescent="0.35">
      <c r="A79" t="s">
        <v>49</v>
      </c>
      <c r="B79" t="str">
        <f t="shared" si="1"/>
        <v>January</v>
      </c>
      <c r="C79" t="s">
        <v>42</v>
      </c>
      <c r="D79" t="s">
        <v>11</v>
      </c>
      <c r="E79" t="s">
        <v>16</v>
      </c>
      <c r="F79" t="s">
        <v>17</v>
      </c>
      <c r="G79">
        <v>100</v>
      </c>
      <c r="H79">
        <v>174600</v>
      </c>
      <c r="I79">
        <v>119302</v>
      </c>
      <c r="J79">
        <v>215</v>
      </c>
      <c r="K79">
        <f>Table1[[#This Row],[Revenue]]-Table1[[#This Row],[Cost]]</f>
        <v>55298</v>
      </c>
      <c r="L79" s="1">
        <f>Table1[[#This Row],[profit]]/Table1[[#This Row],[Revenue]]</f>
        <v>0.31671248568155785</v>
      </c>
    </row>
    <row r="80" spans="1:12" x14ac:dyDescent="0.35">
      <c r="A80" t="s">
        <v>67</v>
      </c>
      <c r="B80" t="str">
        <f t="shared" si="1"/>
        <v>February</v>
      </c>
      <c r="C80" t="s">
        <v>10</v>
      </c>
      <c r="D80" t="s">
        <v>11</v>
      </c>
      <c r="E80" t="s">
        <v>20</v>
      </c>
      <c r="F80" t="s">
        <v>13</v>
      </c>
      <c r="G80">
        <v>130</v>
      </c>
      <c r="H80">
        <v>205400</v>
      </c>
      <c r="I80">
        <v>143797</v>
      </c>
      <c r="J80">
        <v>580</v>
      </c>
      <c r="K80">
        <f>Table1[[#This Row],[Revenue]]-Table1[[#This Row],[Cost]]</f>
        <v>61603</v>
      </c>
      <c r="L80" s="1">
        <f>Table1[[#This Row],[profit]]/Table1[[#This Row],[Revenue]]</f>
        <v>0.29991723466407011</v>
      </c>
    </row>
    <row r="81" spans="1:12" x14ac:dyDescent="0.35">
      <c r="A81" t="s">
        <v>18</v>
      </c>
      <c r="B81" t="str">
        <f t="shared" si="1"/>
        <v>February</v>
      </c>
      <c r="C81" t="s">
        <v>15</v>
      </c>
      <c r="D81" t="s">
        <v>11</v>
      </c>
      <c r="E81" t="s">
        <v>16</v>
      </c>
      <c r="F81" t="s">
        <v>17</v>
      </c>
      <c r="G81">
        <v>145</v>
      </c>
      <c r="H81">
        <v>345825</v>
      </c>
      <c r="I81">
        <v>275456</v>
      </c>
      <c r="J81">
        <v>541</v>
      </c>
      <c r="K81">
        <f>Table1[[#This Row],[Revenue]]-Table1[[#This Row],[Cost]]</f>
        <v>70369</v>
      </c>
      <c r="L81" s="1">
        <f>Table1[[#This Row],[profit]]/Table1[[#This Row],[Revenue]]</f>
        <v>0.20348152967541386</v>
      </c>
    </row>
    <row r="82" spans="1:12" x14ac:dyDescent="0.35">
      <c r="A82" t="s">
        <v>61</v>
      </c>
      <c r="B82" t="str">
        <f t="shared" si="1"/>
        <v>January</v>
      </c>
      <c r="C82" t="s">
        <v>42</v>
      </c>
      <c r="D82" t="s">
        <v>11</v>
      </c>
      <c r="E82" t="s">
        <v>20</v>
      </c>
      <c r="F82" t="s">
        <v>30</v>
      </c>
      <c r="G82">
        <v>199</v>
      </c>
      <c r="H82">
        <v>395811</v>
      </c>
      <c r="I82">
        <v>318888</v>
      </c>
      <c r="J82">
        <v>446</v>
      </c>
      <c r="K82">
        <f>Table1[[#This Row],[Revenue]]-Table1[[#This Row],[Cost]]</f>
        <v>76923</v>
      </c>
      <c r="L82" s="1">
        <f>Table1[[#This Row],[profit]]/Table1[[#This Row],[Revenue]]</f>
        <v>0.19434275449646421</v>
      </c>
    </row>
    <row r="83" spans="1:12" x14ac:dyDescent="0.35">
      <c r="A83" t="s">
        <v>68</v>
      </c>
      <c r="B83" t="str">
        <f t="shared" si="1"/>
        <v>January</v>
      </c>
      <c r="C83" t="s">
        <v>24</v>
      </c>
      <c r="D83" t="s">
        <v>11</v>
      </c>
      <c r="E83" t="s">
        <v>20</v>
      </c>
      <c r="F83" t="s">
        <v>17</v>
      </c>
      <c r="G83">
        <v>171</v>
      </c>
      <c r="H83">
        <v>368847</v>
      </c>
      <c r="I83">
        <v>246901</v>
      </c>
      <c r="J83">
        <v>623</v>
      </c>
      <c r="K83">
        <f>Table1[[#This Row],[Revenue]]-Table1[[#This Row],[Cost]]</f>
        <v>121946</v>
      </c>
      <c r="L83" s="1">
        <f>Table1[[#This Row],[profit]]/Table1[[#This Row],[Revenue]]</f>
        <v>0.33061404864347549</v>
      </c>
    </row>
    <row r="84" spans="1:12" x14ac:dyDescent="0.35">
      <c r="A84" t="s">
        <v>55</v>
      </c>
      <c r="B84" t="str">
        <f t="shared" si="1"/>
        <v>February</v>
      </c>
      <c r="C84" t="s">
        <v>22</v>
      </c>
      <c r="D84" t="s">
        <v>11</v>
      </c>
      <c r="E84" t="s">
        <v>12</v>
      </c>
      <c r="F84" t="s">
        <v>13</v>
      </c>
      <c r="G84">
        <v>70</v>
      </c>
      <c r="H84">
        <v>144690</v>
      </c>
      <c r="I84">
        <v>118568</v>
      </c>
      <c r="J84">
        <v>261</v>
      </c>
      <c r="K84">
        <f>Table1[[#This Row],[Revenue]]-Table1[[#This Row],[Cost]]</f>
        <v>26122</v>
      </c>
      <c r="L84" s="1">
        <f>Table1[[#This Row],[profit]]/Table1[[#This Row],[Revenue]]</f>
        <v>0.18053770129241828</v>
      </c>
    </row>
    <row r="85" spans="1:12" x14ac:dyDescent="0.35">
      <c r="A85" t="s">
        <v>50</v>
      </c>
      <c r="B85" t="str">
        <f t="shared" si="1"/>
        <v>February</v>
      </c>
      <c r="C85" t="s">
        <v>24</v>
      </c>
      <c r="D85" t="s">
        <v>11</v>
      </c>
      <c r="E85" t="s">
        <v>16</v>
      </c>
      <c r="F85" t="s">
        <v>17</v>
      </c>
      <c r="G85">
        <v>125</v>
      </c>
      <c r="H85">
        <v>211000</v>
      </c>
      <c r="I85">
        <v>165978</v>
      </c>
      <c r="J85">
        <v>950</v>
      </c>
      <c r="K85">
        <f>Table1[[#This Row],[Revenue]]-Table1[[#This Row],[Cost]]</f>
        <v>45022</v>
      </c>
      <c r="L85" s="1">
        <f>Table1[[#This Row],[profit]]/Table1[[#This Row],[Revenue]]</f>
        <v>0.21337440758293838</v>
      </c>
    </row>
    <row r="86" spans="1:12" x14ac:dyDescent="0.35">
      <c r="A86" t="s">
        <v>53</v>
      </c>
      <c r="B86" t="str">
        <f t="shared" si="1"/>
        <v>January</v>
      </c>
      <c r="C86" t="s">
        <v>15</v>
      </c>
      <c r="D86" t="s">
        <v>11</v>
      </c>
      <c r="E86" t="s">
        <v>16</v>
      </c>
      <c r="F86" t="s">
        <v>13</v>
      </c>
      <c r="G86">
        <v>112</v>
      </c>
      <c r="H86">
        <v>248192</v>
      </c>
      <c r="I86">
        <v>176782</v>
      </c>
      <c r="J86">
        <v>581</v>
      </c>
      <c r="K86">
        <f>Table1[[#This Row],[Revenue]]-Table1[[#This Row],[Cost]]</f>
        <v>71410</v>
      </c>
      <c r="L86" s="1">
        <f>Table1[[#This Row],[profit]]/Table1[[#This Row],[Revenue]]</f>
        <v>0.28772079680247548</v>
      </c>
    </row>
    <row r="87" spans="1:12" x14ac:dyDescent="0.35">
      <c r="A87" t="s">
        <v>40</v>
      </c>
      <c r="B87" t="str">
        <f t="shared" si="1"/>
        <v>January</v>
      </c>
      <c r="C87" t="s">
        <v>24</v>
      </c>
      <c r="D87" t="s">
        <v>11</v>
      </c>
      <c r="E87" t="s">
        <v>16</v>
      </c>
      <c r="F87" t="s">
        <v>13</v>
      </c>
      <c r="G87">
        <v>142</v>
      </c>
      <c r="H87">
        <v>330292</v>
      </c>
      <c r="I87">
        <v>238114</v>
      </c>
      <c r="J87">
        <v>500</v>
      </c>
      <c r="K87">
        <f>Table1[[#This Row],[Revenue]]-Table1[[#This Row],[Cost]]</f>
        <v>92178</v>
      </c>
      <c r="L87" s="1">
        <f>Table1[[#This Row],[profit]]/Table1[[#This Row],[Revenue]]</f>
        <v>0.27908032892107587</v>
      </c>
    </row>
    <row r="88" spans="1:12" x14ac:dyDescent="0.35">
      <c r="A88" t="s">
        <v>50</v>
      </c>
      <c r="B88" t="str">
        <f t="shared" si="1"/>
        <v>February</v>
      </c>
      <c r="C88" t="s">
        <v>15</v>
      </c>
      <c r="D88" t="s">
        <v>11</v>
      </c>
      <c r="E88" t="s">
        <v>16</v>
      </c>
      <c r="F88" t="s">
        <v>30</v>
      </c>
      <c r="G88">
        <v>124</v>
      </c>
      <c r="H88">
        <v>259532</v>
      </c>
      <c r="I88">
        <v>188105</v>
      </c>
      <c r="J88">
        <v>899</v>
      </c>
      <c r="K88">
        <f>Table1[[#This Row],[Revenue]]-Table1[[#This Row],[Cost]]</f>
        <v>71427</v>
      </c>
      <c r="L88" s="1">
        <f>Table1[[#This Row],[profit]]/Table1[[#This Row],[Revenue]]</f>
        <v>0.27521461707997474</v>
      </c>
    </row>
    <row r="89" spans="1:12" x14ac:dyDescent="0.35">
      <c r="A89" t="s">
        <v>48</v>
      </c>
      <c r="B89" t="str">
        <f t="shared" si="1"/>
        <v>January</v>
      </c>
      <c r="C89" t="s">
        <v>24</v>
      </c>
      <c r="D89" t="s">
        <v>11</v>
      </c>
      <c r="E89" t="s">
        <v>16</v>
      </c>
      <c r="F89" t="s">
        <v>17</v>
      </c>
      <c r="G89">
        <v>63</v>
      </c>
      <c r="H89">
        <v>132741</v>
      </c>
      <c r="I89">
        <v>92678</v>
      </c>
      <c r="J89">
        <v>387</v>
      </c>
      <c r="K89">
        <f>Table1[[#This Row],[Revenue]]-Table1[[#This Row],[Cost]]</f>
        <v>40063</v>
      </c>
      <c r="L89" s="1">
        <f>Table1[[#This Row],[profit]]/Table1[[#This Row],[Revenue]]</f>
        <v>0.30181330561017322</v>
      </c>
    </row>
    <row r="90" spans="1:12" x14ac:dyDescent="0.35">
      <c r="A90" t="s">
        <v>69</v>
      </c>
      <c r="B90" t="str">
        <f t="shared" si="1"/>
        <v>January</v>
      </c>
      <c r="C90" t="s">
        <v>15</v>
      </c>
      <c r="D90" t="s">
        <v>11</v>
      </c>
      <c r="E90" t="s">
        <v>12</v>
      </c>
      <c r="F90" t="s">
        <v>13</v>
      </c>
      <c r="G90">
        <v>52</v>
      </c>
      <c r="H90">
        <v>129844</v>
      </c>
      <c r="I90">
        <v>90332</v>
      </c>
      <c r="J90">
        <v>882</v>
      </c>
      <c r="K90">
        <f>Table1[[#This Row],[Revenue]]-Table1[[#This Row],[Cost]]</f>
        <v>39512</v>
      </c>
      <c r="L90" s="1">
        <f>Table1[[#This Row],[profit]]/Table1[[#This Row],[Revenue]]</f>
        <v>0.30430362588952897</v>
      </c>
    </row>
    <row r="91" spans="1:12" x14ac:dyDescent="0.35">
      <c r="A91" t="s">
        <v>33</v>
      </c>
      <c r="B91" t="str">
        <f t="shared" si="1"/>
        <v>January</v>
      </c>
      <c r="C91" t="s">
        <v>15</v>
      </c>
      <c r="D91" t="s">
        <v>11</v>
      </c>
      <c r="E91" t="s">
        <v>12</v>
      </c>
      <c r="F91" t="s">
        <v>30</v>
      </c>
      <c r="G91">
        <v>185</v>
      </c>
      <c r="H91">
        <v>406815</v>
      </c>
      <c r="I91">
        <v>272471</v>
      </c>
      <c r="J91">
        <v>253</v>
      </c>
      <c r="K91">
        <f>Table1[[#This Row],[Revenue]]-Table1[[#This Row],[Cost]]</f>
        <v>134344</v>
      </c>
      <c r="L91" s="1">
        <f>Table1[[#This Row],[profit]]/Table1[[#This Row],[Revenue]]</f>
        <v>0.33023364428548602</v>
      </c>
    </row>
    <row r="92" spans="1:12" x14ac:dyDescent="0.35">
      <c r="A92" t="s">
        <v>52</v>
      </c>
      <c r="B92" t="str">
        <f t="shared" si="1"/>
        <v>February</v>
      </c>
      <c r="C92" t="s">
        <v>24</v>
      </c>
      <c r="D92" t="s">
        <v>11</v>
      </c>
      <c r="E92" t="s">
        <v>20</v>
      </c>
      <c r="F92" t="s">
        <v>17</v>
      </c>
      <c r="G92">
        <v>161</v>
      </c>
      <c r="H92">
        <v>329728</v>
      </c>
      <c r="I92">
        <v>252317</v>
      </c>
      <c r="J92">
        <v>372</v>
      </c>
      <c r="K92">
        <f>Table1[[#This Row],[Revenue]]-Table1[[#This Row],[Cost]]</f>
        <v>77411</v>
      </c>
      <c r="L92" s="1">
        <f>Table1[[#This Row],[profit]]/Table1[[#This Row],[Revenue]]</f>
        <v>0.23477229716614906</v>
      </c>
    </row>
    <row r="93" spans="1:12" x14ac:dyDescent="0.35">
      <c r="A93" t="s">
        <v>43</v>
      </c>
      <c r="B93" t="str">
        <f t="shared" si="1"/>
        <v>January</v>
      </c>
      <c r="C93" t="s">
        <v>42</v>
      </c>
      <c r="D93" t="s">
        <v>11</v>
      </c>
      <c r="E93" t="s">
        <v>12</v>
      </c>
      <c r="F93" t="s">
        <v>30</v>
      </c>
      <c r="G93">
        <v>57</v>
      </c>
      <c r="H93">
        <v>109896</v>
      </c>
      <c r="I93">
        <v>75381</v>
      </c>
      <c r="J93">
        <v>224</v>
      </c>
      <c r="K93">
        <f>Table1[[#This Row],[Revenue]]-Table1[[#This Row],[Cost]]</f>
        <v>34515</v>
      </c>
      <c r="L93" s="1">
        <f>Table1[[#This Row],[profit]]/Table1[[#This Row],[Revenue]]</f>
        <v>0.31406966586590956</v>
      </c>
    </row>
    <row r="94" spans="1:12" x14ac:dyDescent="0.35">
      <c r="A94" t="s">
        <v>65</v>
      </c>
      <c r="B94" t="str">
        <f t="shared" si="1"/>
        <v>January</v>
      </c>
      <c r="C94" t="s">
        <v>19</v>
      </c>
      <c r="D94" t="s">
        <v>11</v>
      </c>
      <c r="E94" t="s">
        <v>20</v>
      </c>
      <c r="F94" t="s">
        <v>13</v>
      </c>
      <c r="G94">
        <v>116</v>
      </c>
      <c r="H94">
        <v>215064</v>
      </c>
      <c r="I94">
        <v>170539</v>
      </c>
      <c r="J94">
        <v>947</v>
      </c>
      <c r="K94">
        <f>Table1[[#This Row],[Revenue]]-Table1[[#This Row],[Cost]]</f>
        <v>44525</v>
      </c>
      <c r="L94" s="1">
        <f>Table1[[#This Row],[profit]]/Table1[[#This Row],[Revenue]]</f>
        <v>0.20703139530558345</v>
      </c>
    </row>
    <row r="95" spans="1:12" x14ac:dyDescent="0.35">
      <c r="A95" t="s">
        <v>70</v>
      </c>
      <c r="B95" t="str">
        <f t="shared" si="1"/>
        <v>March</v>
      </c>
      <c r="C95" t="s">
        <v>10</v>
      </c>
      <c r="D95" t="s">
        <v>11</v>
      </c>
      <c r="E95" t="s">
        <v>12</v>
      </c>
      <c r="F95" t="s">
        <v>13</v>
      </c>
      <c r="G95">
        <v>63</v>
      </c>
      <c r="H95">
        <v>124803</v>
      </c>
      <c r="I95">
        <v>81025</v>
      </c>
      <c r="J95">
        <v>313</v>
      </c>
      <c r="K95">
        <f>Table1[[#This Row],[Revenue]]-Table1[[#This Row],[Cost]]</f>
        <v>43778</v>
      </c>
      <c r="L95" s="1">
        <f>Table1[[#This Row],[profit]]/Table1[[#This Row],[Revenue]]</f>
        <v>0.35077682427505746</v>
      </c>
    </row>
    <row r="96" spans="1:12" x14ac:dyDescent="0.35">
      <c r="A96" t="s">
        <v>50</v>
      </c>
      <c r="B96" t="str">
        <f t="shared" si="1"/>
        <v>February</v>
      </c>
      <c r="C96" t="s">
        <v>15</v>
      </c>
      <c r="D96" t="s">
        <v>11</v>
      </c>
      <c r="E96" t="s">
        <v>29</v>
      </c>
      <c r="F96" t="s">
        <v>13</v>
      </c>
      <c r="G96">
        <v>138</v>
      </c>
      <c r="H96">
        <v>224940</v>
      </c>
      <c r="I96">
        <v>182835</v>
      </c>
      <c r="J96">
        <v>373</v>
      </c>
      <c r="K96">
        <f>Table1[[#This Row],[Revenue]]-Table1[[#This Row],[Cost]]</f>
        <v>42105</v>
      </c>
      <c r="L96" s="1">
        <f>Table1[[#This Row],[profit]]/Table1[[#This Row],[Revenue]]</f>
        <v>0.18718324886636437</v>
      </c>
    </row>
    <row r="97" spans="1:12" x14ac:dyDescent="0.35">
      <c r="A97" t="s">
        <v>49</v>
      </c>
      <c r="B97" t="str">
        <f t="shared" si="1"/>
        <v>January</v>
      </c>
      <c r="C97" t="s">
        <v>42</v>
      </c>
      <c r="D97" t="s">
        <v>11</v>
      </c>
      <c r="E97" t="s">
        <v>20</v>
      </c>
      <c r="F97" t="s">
        <v>13</v>
      </c>
      <c r="G97">
        <v>147</v>
      </c>
      <c r="H97">
        <v>364707</v>
      </c>
      <c r="I97">
        <v>224050</v>
      </c>
      <c r="J97">
        <v>621</v>
      </c>
      <c r="K97">
        <f>Table1[[#This Row],[Revenue]]-Table1[[#This Row],[Cost]]</f>
        <v>140657</v>
      </c>
      <c r="L97" s="1">
        <f>Table1[[#This Row],[profit]]/Table1[[#This Row],[Revenue]]</f>
        <v>0.38567123745911103</v>
      </c>
    </row>
    <row r="98" spans="1:12" x14ac:dyDescent="0.35">
      <c r="A98" t="s">
        <v>50</v>
      </c>
      <c r="B98" t="str">
        <f t="shared" si="1"/>
        <v>February</v>
      </c>
      <c r="C98" t="s">
        <v>22</v>
      </c>
      <c r="D98" t="s">
        <v>11</v>
      </c>
      <c r="E98" t="s">
        <v>29</v>
      </c>
      <c r="F98" t="s">
        <v>13</v>
      </c>
      <c r="G98">
        <v>95</v>
      </c>
      <c r="H98">
        <v>221445</v>
      </c>
      <c r="I98">
        <v>178095</v>
      </c>
      <c r="J98">
        <v>249</v>
      </c>
      <c r="K98">
        <f>Table1[[#This Row],[Revenue]]-Table1[[#This Row],[Cost]]</f>
        <v>43350</v>
      </c>
      <c r="L98" s="1">
        <f>Table1[[#This Row],[profit]]/Table1[[#This Row],[Revenue]]</f>
        <v>0.19575966944387996</v>
      </c>
    </row>
    <row r="99" spans="1:12" x14ac:dyDescent="0.35">
      <c r="A99" t="s">
        <v>71</v>
      </c>
      <c r="B99" t="str">
        <f t="shared" si="1"/>
        <v>February</v>
      </c>
      <c r="C99" t="s">
        <v>15</v>
      </c>
      <c r="D99" t="s">
        <v>11</v>
      </c>
      <c r="E99" t="s">
        <v>12</v>
      </c>
      <c r="F99" t="s">
        <v>17</v>
      </c>
      <c r="G99">
        <v>115</v>
      </c>
      <c r="H99">
        <v>252885</v>
      </c>
      <c r="I99">
        <v>212044</v>
      </c>
      <c r="J99">
        <v>628</v>
      </c>
      <c r="K99">
        <f>Table1[[#This Row],[Revenue]]-Table1[[#This Row],[Cost]]</f>
        <v>40841</v>
      </c>
      <c r="L99" s="1">
        <f>Table1[[#This Row],[profit]]/Table1[[#This Row],[Revenue]]</f>
        <v>0.16150028669157918</v>
      </c>
    </row>
    <row r="100" spans="1:12" x14ac:dyDescent="0.35">
      <c r="A100" t="s">
        <v>72</v>
      </c>
      <c r="B100" t="str">
        <f t="shared" si="1"/>
        <v>January</v>
      </c>
      <c r="C100" t="s">
        <v>19</v>
      </c>
      <c r="D100" t="s">
        <v>11</v>
      </c>
      <c r="E100" t="s">
        <v>16</v>
      </c>
      <c r="F100" t="s">
        <v>17</v>
      </c>
      <c r="G100">
        <v>178</v>
      </c>
      <c r="H100">
        <v>279460</v>
      </c>
      <c r="I100">
        <v>233576</v>
      </c>
      <c r="J100">
        <v>255</v>
      </c>
      <c r="K100">
        <f>Table1[[#This Row],[Revenue]]-Table1[[#This Row],[Cost]]</f>
        <v>45884</v>
      </c>
      <c r="L100" s="1">
        <f>Table1[[#This Row],[profit]]/Table1[[#This Row],[Revenue]]</f>
        <v>0.16418807700565377</v>
      </c>
    </row>
    <row r="101" spans="1:12" x14ac:dyDescent="0.35">
      <c r="A101" t="s">
        <v>71</v>
      </c>
      <c r="B101" t="str">
        <f t="shared" si="1"/>
        <v>February</v>
      </c>
      <c r="C101" t="s">
        <v>24</v>
      </c>
      <c r="D101" t="s">
        <v>11</v>
      </c>
      <c r="E101" t="s">
        <v>16</v>
      </c>
      <c r="F101" t="s">
        <v>17</v>
      </c>
      <c r="G101">
        <v>74</v>
      </c>
      <c r="H101">
        <v>125060</v>
      </c>
      <c r="I101">
        <v>97741</v>
      </c>
      <c r="J101">
        <v>288</v>
      </c>
      <c r="K101">
        <f>Table1[[#This Row],[Revenue]]-Table1[[#This Row],[Cost]]</f>
        <v>27319</v>
      </c>
      <c r="L101" s="1">
        <f>Table1[[#This Row],[profit]]/Table1[[#This Row],[Revenue]]</f>
        <v>0.21844714537022231</v>
      </c>
    </row>
    <row r="102" spans="1:12" x14ac:dyDescent="0.35">
      <c r="A102" t="s">
        <v>51</v>
      </c>
      <c r="B102" t="str">
        <f t="shared" si="1"/>
        <v>January</v>
      </c>
      <c r="C102" t="s">
        <v>10</v>
      </c>
      <c r="D102" t="s">
        <v>11</v>
      </c>
      <c r="E102" t="s">
        <v>20</v>
      </c>
      <c r="F102" t="s">
        <v>17</v>
      </c>
      <c r="G102">
        <v>197</v>
      </c>
      <c r="H102">
        <v>400304</v>
      </c>
      <c r="I102">
        <v>272424</v>
      </c>
      <c r="J102">
        <v>206</v>
      </c>
      <c r="K102">
        <f>Table1[[#This Row],[Revenue]]-Table1[[#This Row],[Cost]]</f>
        <v>127880</v>
      </c>
      <c r="L102" s="1">
        <f>Table1[[#This Row],[profit]]/Table1[[#This Row],[Revenue]]</f>
        <v>0.31945721251848597</v>
      </c>
    </row>
    <row r="103" spans="1:12" x14ac:dyDescent="0.35">
      <c r="A103" t="s">
        <v>32</v>
      </c>
      <c r="B103" t="str">
        <f t="shared" si="1"/>
        <v>January</v>
      </c>
      <c r="C103" t="s">
        <v>22</v>
      </c>
      <c r="D103" t="s">
        <v>11</v>
      </c>
      <c r="E103" t="s">
        <v>20</v>
      </c>
      <c r="F103" t="s">
        <v>17</v>
      </c>
      <c r="G103">
        <v>121</v>
      </c>
      <c r="H103">
        <v>302016</v>
      </c>
      <c r="I103">
        <v>201586</v>
      </c>
      <c r="J103">
        <v>815</v>
      </c>
      <c r="K103">
        <f>Table1[[#This Row],[Revenue]]-Table1[[#This Row],[Cost]]</f>
        <v>100430</v>
      </c>
      <c r="L103" s="1">
        <f>Table1[[#This Row],[profit]]/Table1[[#This Row],[Revenue]]</f>
        <v>0.33253205128205127</v>
      </c>
    </row>
    <row r="104" spans="1:12" x14ac:dyDescent="0.35">
      <c r="A104" t="s">
        <v>55</v>
      </c>
      <c r="B104" t="str">
        <f t="shared" si="1"/>
        <v>February</v>
      </c>
      <c r="C104" t="s">
        <v>19</v>
      </c>
      <c r="D104" t="s">
        <v>11</v>
      </c>
      <c r="E104" t="s">
        <v>16</v>
      </c>
      <c r="F104" t="s">
        <v>30</v>
      </c>
      <c r="G104">
        <v>165</v>
      </c>
      <c r="H104">
        <v>287430</v>
      </c>
      <c r="I104">
        <v>226751</v>
      </c>
      <c r="J104">
        <v>764</v>
      </c>
      <c r="K104">
        <f>Table1[[#This Row],[Revenue]]-Table1[[#This Row],[Cost]]</f>
        <v>60679</v>
      </c>
      <c r="L104" s="1">
        <f>Table1[[#This Row],[profit]]/Table1[[#This Row],[Revenue]]</f>
        <v>0.21110879170580663</v>
      </c>
    </row>
    <row r="105" spans="1:12" x14ac:dyDescent="0.35">
      <c r="A105" t="s">
        <v>73</v>
      </c>
      <c r="B105" t="str">
        <f t="shared" si="1"/>
        <v>February</v>
      </c>
      <c r="C105" t="s">
        <v>15</v>
      </c>
      <c r="D105" t="s">
        <v>11</v>
      </c>
      <c r="E105" t="s">
        <v>29</v>
      </c>
      <c r="F105" t="s">
        <v>13</v>
      </c>
      <c r="G105">
        <v>130</v>
      </c>
      <c r="H105">
        <v>213070</v>
      </c>
      <c r="I105">
        <v>174444</v>
      </c>
      <c r="J105">
        <v>523</v>
      </c>
      <c r="K105">
        <f>Table1[[#This Row],[Revenue]]-Table1[[#This Row],[Cost]]</f>
        <v>38626</v>
      </c>
      <c r="L105" s="1">
        <f>Table1[[#This Row],[profit]]/Table1[[#This Row],[Revenue]]</f>
        <v>0.18128314638381751</v>
      </c>
    </row>
    <row r="106" spans="1:12" x14ac:dyDescent="0.35">
      <c r="A106" t="s">
        <v>35</v>
      </c>
      <c r="B106" t="str">
        <f t="shared" si="1"/>
        <v>February</v>
      </c>
      <c r="C106" t="s">
        <v>15</v>
      </c>
      <c r="D106" t="s">
        <v>11</v>
      </c>
      <c r="E106" t="s">
        <v>29</v>
      </c>
      <c r="F106" t="s">
        <v>13</v>
      </c>
      <c r="G106">
        <v>100</v>
      </c>
      <c r="H106">
        <v>201200</v>
      </c>
      <c r="I106">
        <v>150946</v>
      </c>
      <c r="J106">
        <v>972</v>
      </c>
      <c r="K106">
        <f>Table1[[#This Row],[Revenue]]-Table1[[#This Row],[Cost]]</f>
        <v>50254</v>
      </c>
      <c r="L106" s="1">
        <f>Table1[[#This Row],[profit]]/Table1[[#This Row],[Revenue]]</f>
        <v>0.24977137176938369</v>
      </c>
    </row>
    <row r="107" spans="1:12" x14ac:dyDescent="0.35">
      <c r="A107" t="s">
        <v>32</v>
      </c>
      <c r="B107" t="str">
        <f t="shared" si="1"/>
        <v>January</v>
      </c>
      <c r="C107" t="s">
        <v>22</v>
      </c>
      <c r="D107" t="s">
        <v>11</v>
      </c>
      <c r="E107" t="s">
        <v>12</v>
      </c>
      <c r="F107" t="s">
        <v>13</v>
      </c>
      <c r="G107">
        <v>115</v>
      </c>
      <c r="H107">
        <v>278760</v>
      </c>
      <c r="I107">
        <v>205884</v>
      </c>
      <c r="J107">
        <v>591</v>
      </c>
      <c r="K107">
        <f>Table1[[#This Row],[Revenue]]-Table1[[#This Row],[Cost]]</f>
        <v>72876</v>
      </c>
      <c r="L107" s="1">
        <f>Table1[[#This Row],[profit]]/Table1[[#This Row],[Revenue]]</f>
        <v>0.26142918639690055</v>
      </c>
    </row>
    <row r="108" spans="1:12" x14ac:dyDescent="0.35">
      <c r="A108" t="s">
        <v>56</v>
      </c>
      <c r="B108" t="str">
        <f t="shared" si="1"/>
        <v>February</v>
      </c>
      <c r="C108" t="s">
        <v>42</v>
      </c>
      <c r="D108" t="s">
        <v>11</v>
      </c>
      <c r="E108" t="s">
        <v>16</v>
      </c>
      <c r="F108" t="s">
        <v>30</v>
      </c>
      <c r="G108">
        <v>153</v>
      </c>
      <c r="H108">
        <v>246636</v>
      </c>
      <c r="I108">
        <v>208648</v>
      </c>
      <c r="J108">
        <v>593</v>
      </c>
      <c r="K108">
        <f>Table1[[#This Row],[Revenue]]-Table1[[#This Row],[Cost]]</f>
        <v>37988</v>
      </c>
      <c r="L108" s="1">
        <f>Table1[[#This Row],[profit]]/Table1[[#This Row],[Revenue]]</f>
        <v>0.15402455440406104</v>
      </c>
    </row>
    <row r="109" spans="1:12" x14ac:dyDescent="0.35">
      <c r="A109" t="s">
        <v>33</v>
      </c>
      <c r="B109" t="str">
        <f t="shared" si="1"/>
        <v>January</v>
      </c>
      <c r="C109" t="s">
        <v>19</v>
      </c>
      <c r="D109" t="s">
        <v>11</v>
      </c>
      <c r="E109" t="s">
        <v>20</v>
      </c>
      <c r="F109" t="s">
        <v>30</v>
      </c>
      <c r="G109">
        <v>118</v>
      </c>
      <c r="H109">
        <v>288274</v>
      </c>
      <c r="I109">
        <v>244134</v>
      </c>
      <c r="J109">
        <v>477</v>
      </c>
      <c r="K109">
        <f>Table1[[#This Row],[Revenue]]-Table1[[#This Row],[Cost]]</f>
        <v>44140</v>
      </c>
      <c r="L109" s="1">
        <f>Table1[[#This Row],[profit]]/Table1[[#This Row],[Revenue]]</f>
        <v>0.15311821392147748</v>
      </c>
    </row>
    <row r="110" spans="1:12" x14ac:dyDescent="0.35">
      <c r="A110" t="s">
        <v>28</v>
      </c>
      <c r="B110" t="str">
        <f t="shared" si="1"/>
        <v>February</v>
      </c>
      <c r="C110" t="s">
        <v>24</v>
      </c>
      <c r="D110" t="s">
        <v>11</v>
      </c>
      <c r="E110" t="s">
        <v>20</v>
      </c>
      <c r="F110" t="s">
        <v>17</v>
      </c>
      <c r="G110">
        <v>135</v>
      </c>
      <c r="H110">
        <v>308880</v>
      </c>
      <c r="I110">
        <v>233414</v>
      </c>
      <c r="J110">
        <v>664</v>
      </c>
      <c r="K110">
        <f>Table1[[#This Row],[Revenue]]-Table1[[#This Row],[Cost]]</f>
        <v>75466</v>
      </c>
      <c r="L110" s="1">
        <f>Table1[[#This Row],[profit]]/Table1[[#This Row],[Revenue]]</f>
        <v>0.24432141932141932</v>
      </c>
    </row>
    <row r="111" spans="1:12" x14ac:dyDescent="0.35">
      <c r="A111" t="s">
        <v>69</v>
      </c>
      <c r="B111" t="str">
        <f t="shared" si="1"/>
        <v>January</v>
      </c>
      <c r="C111" t="s">
        <v>10</v>
      </c>
      <c r="D111" t="s">
        <v>11</v>
      </c>
      <c r="E111" t="s">
        <v>29</v>
      </c>
      <c r="F111" t="s">
        <v>30</v>
      </c>
      <c r="G111">
        <v>102</v>
      </c>
      <c r="H111">
        <v>235314</v>
      </c>
      <c r="I111">
        <v>185703</v>
      </c>
      <c r="J111">
        <v>758</v>
      </c>
      <c r="K111">
        <f>Table1[[#This Row],[Revenue]]-Table1[[#This Row],[Cost]]</f>
        <v>49611</v>
      </c>
      <c r="L111" s="1">
        <f>Table1[[#This Row],[profit]]/Table1[[#This Row],[Revenue]]</f>
        <v>0.2108289349549963</v>
      </c>
    </row>
    <row r="112" spans="1:12" x14ac:dyDescent="0.35">
      <c r="A112" t="s">
        <v>49</v>
      </c>
      <c r="B112" t="str">
        <f t="shared" si="1"/>
        <v>January</v>
      </c>
      <c r="C112" t="s">
        <v>19</v>
      </c>
      <c r="D112" t="s">
        <v>11</v>
      </c>
      <c r="E112" t="s">
        <v>20</v>
      </c>
      <c r="F112" t="s">
        <v>30</v>
      </c>
      <c r="G112">
        <v>57</v>
      </c>
      <c r="H112">
        <v>92397</v>
      </c>
      <c r="I112">
        <v>71628</v>
      </c>
      <c r="J112">
        <v>883</v>
      </c>
      <c r="K112">
        <f>Table1[[#This Row],[Revenue]]-Table1[[#This Row],[Cost]]</f>
        <v>20769</v>
      </c>
      <c r="L112" s="1">
        <f>Table1[[#This Row],[profit]]/Table1[[#This Row],[Revenue]]</f>
        <v>0.22478002532549757</v>
      </c>
    </row>
    <row r="113" spans="1:12" x14ac:dyDescent="0.35">
      <c r="A113" t="s">
        <v>74</v>
      </c>
      <c r="B113" t="str">
        <f t="shared" si="1"/>
        <v>February</v>
      </c>
      <c r="C113" t="s">
        <v>10</v>
      </c>
      <c r="D113" t="s">
        <v>11</v>
      </c>
      <c r="E113" t="s">
        <v>12</v>
      </c>
      <c r="F113" t="s">
        <v>13</v>
      </c>
      <c r="G113">
        <v>67</v>
      </c>
      <c r="H113">
        <v>140298</v>
      </c>
      <c r="I113">
        <v>113059</v>
      </c>
      <c r="J113">
        <v>712</v>
      </c>
      <c r="K113">
        <f>Table1[[#This Row],[Revenue]]-Table1[[#This Row],[Cost]]</f>
        <v>27239</v>
      </c>
      <c r="L113" s="1">
        <f>Table1[[#This Row],[profit]]/Table1[[#This Row],[Revenue]]</f>
        <v>0.19415102139731144</v>
      </c>
    </row>
    <row r="114" spans="1:12" x14ac:dyDescent="0.35">
      <c r="A114" t="s">
        <v>49</v>
      </c>
      <c r="B114" t="str">
        <f t="shared" si="1"/>
        <v>January</v>
      </c>
      <c r="C114" t="s">
        <v>42</v>
      </c>
      <c r="D114" t="s">
        <v>11</v>
      </c>
      <c r="E114" t="s">
        <v>20</v>
      </c>
      <c r="F114" t="s">
        <v>13</v>
      </c>
      <c r="G114">
        <v>70</v>
      </c>
      <c r="H114">
        <v>127820</v>
      </c>
      <c r="I114">
        <v>86372</v>
      </c>
      <c r="J114">
        <v>335</v>
      </c>
      <c r="K114">
        <f>Table1[[#This Row],[Revenue]]-Table1[[#This Row],[Cost]]</f>
        <v>41448</v>
      </c>
      <c r="L114" s="1">
        <f>Table1[[#This Row],[profit]]/Table1[[#This Row],[Revenue]]</f>
        <v>0.3242685025817556</v>
      </c>
    </row>
    <row r="115" spans="1:12" x14ac:dyDescent="0.35">
      <c r="A115" t="s">
        <v>18</v>
      </c>
      <c r="B115" t="str">
        <f t="shared" si="1"/>
        <v>February</v>
      </c>
      <c r="C115" t="s">
        <v>42</v>
      </c>
      <c r="D115" t="s">
        <v>11</v>
      </c>
      <c r="E115" t="s">
        <v>16</v>
      </c>
      <c r="F115" t="s">
        <v>17</v>
      </c>
      <c r="G115">
        <v>179</v>
      </c>
      <c r="H115">
        <v>351735</v>
      </c>
      <c r="I115">
        <v>281143</v>
      </c>
      <c r="J115">
        <v>687</v>
      </c>
      <c r="K115">
        <f>Table1[[#This Row],[Revenue]]-Table1[[#This Row],[Cost]]</f>
        <v>70592</v>
      </c>
      <c r="L115" s="1">
        <f>Table1[[#This Row],[profit]]/Table1[[#This Row],[Revenue]]</f>
        <v>0.20069654711643709</v>
      </c>
    </row>
    <row r="116" spans="1:12" x14ac:dyDescent="0.35">
      <c r="A116" t="s">
        <v>71</v>
      </c>
      <c r="B116" t="str">
        <f t="shared" si="1"/>
        <v>February</v>
      </c>
      <c r="C116" t="s">
        <v>15</v>
      </c>
      <c r="D116" t="s">
        <v>11</v>
      </c>
      <c r="E116" t="s">
        <v>20</v>
      </c>
      <c r="F116" t="s">
        <v>13</v>
      </c>
      <c r="G116">
        <v>163</v>
      </c>
      <c r="H116">
        <v>264386</v>
      </c>
      <c r="I116">
        <v>219275</v>
      </c>
      <c r="J116">
        <v>566</v>
      </c>
      <c r="K116">
        <f>Table1[[#This Row],[Revenue]]-Table1[[#This Row],[Cost]]</f>
        <v>45111</v>
      </c>
      <c r="L116" s="1">
        <f>Table1[[#This Row],[profit]]/Table1[[#This Row],[Revenue]]</f>
        <v>0.17062552480085935</v>
      </c>
    </row>
    <row r="117" spans="1:12" x14ac:dyDescent="0.35">
      <c r="A117" t="s">
        <v>63</v>
      </c>
      <c r="B117" t="str">
        <f t="shared" si="1"/>
        <v>January</v>
      </c>
      <c r="C117" t="s">
        <v>19</v>
      </c>
      <c r="D117" t="s">
        <v>11</v>
      </c>
      <c r="E117" t="s">
        <v>29</v>
      </c>
      <c r="F117" t="s">
        <v>13</v>
      </c>
      <c r="G117">
        <v>147</v>
      </c>
      <c r="H117">
        <v>332514</v>
      </c>
      <c r="I117">
        <v>241663</v>
      </c>
      <c r="J117">
        <v>744</v>
      </c>
      <c r="K117">
        <f>Table1[[#This Row],[Revenue]]-Table1[[#This Row],[Cost]]</f>
        <v>90851</v>
      </c>
      <c r="L117" s="1">
        <f>Table1[[#This Row],[profit]]/Table1[[#This Row],[Revenue]]</f>
        <v>0.2732245860324678</v>
      </c>
    </row>
    <row r="118" spans="1:12" x14ac:dyDescent="0.35">
      <c r="A118" t="s">
        <v>63</v>
      </c>
      <c r="B118" t="str">
        <f t="shared" si="1"/>
        <v>January</v>
      </c>
      <c r="C118" t="s">
        <v>19</v>
      </c>
      <c r="D118" t="s">
        <v>11</v>
      </c>
      <c r="E118" t="s">
        <v>20</v>
      </c>
      <c r="F118" t="s">
        <v>30</v>
      </c>
      <c r="G118">
        <v>119</v>
      </c>
      <c r="H118">
        <v>289051</v>
      </c>
      <c r="I118">
        <v>228676</v>
      </c>
      <c r="J118">
        <v>507</v>
      </c>
      <c r="K118">
        <f>Table1[[#This Row],[Revenue]]-Table1[[#This Row],[Cost]]</f>
        <v>60375</v>
      </c>
      <c r="L118" s="1">
        <f>Table1[[#This Row],[profit]]/Table1[[#This Row],[Revenue]]</f>
        <v>0.20887317463008259</v>
      </c>
    </row>
    <row r="119" spans="1:12" x14ac:dyDescent="0.35">
      <c r="A119" t="s">
        <v>75</v>
      </c>
      <c r="B119" t="str">
        <f t="shared" si="1"/>
        <v>February</v>
      </c>
      <c r="C119" t="s">
        <v>42</v>
      </c>
      <c r="D119" t="s">
        <v>11</v>
      </c>
      <c r="E119" t="s">
        <v>16</v>
      </c>
      <c r="F119" t="s">
        <v>30</v>
      </c>
      <c r="G119">
        <v>79</v>
      </c>
      <c r="H119">
        <v>137144</v>
      </c>
      <c r="I119">
        <v>111359</v>
      </c>
      <c r="J119">
        <v>521</v>
      </c>
      <c r="K119">
        <f>Table1[[#This Row],[Revenue]]-Table1[[#This Row],[Cost]]</f>
        <v>25785</v>
      </c>
      <c r="L119" s="1">
        <f>Table1[[#This Row],[profit]]/Table1[[#This Row],[Revenue]]</f>
        <v>0.18801405821618153</v>
      </c>
    </row>
    <row r="120" spans="1:12" x14ac:dyDescent="0.35">
      <c r="A120" t="s">
        <v>72</v>
      </c>
      <c r="B120" t="str">
        <f t="shared" si="1"/>
        <v>January</v>
      </c>
      <c r="C120" t="s">
        <v>24</v>
      </c>
      <c r="D120" t="s">
        <v>11</v>
      </c>
      <c r="E120" t="s">
        <v>20</v>
      </c>
      <c r="F120" t="s">
        <v>30</v>
      </c>
      <c r="G120">
        <v>99</v>
      </c>
      <c r="H120">
        <v>232155</v>
      </c>
      <c r="I120">
        <v>152162</v>
      </c>
      <c r="J120">
        <v>798</v>
      </c>
      <c r="K120">
        <f>Table1[[#This Row],[Revenue]]-Table1[[#This Row],[Cost]]</f>
        <v>79993</v>
      </c>
      <c r="L120" s="1">
        <f>Table1[[#This Row],[profit]]/Table1[[#This Row],[Revenue]]</f>
        <v>0.34456720725377443</v>
      </c>
    </row>
    <row r="121" spans="1:12" x14ac:dyDescent="0.35">
      <c r="A121" t="s">
        <v>52</v>
      </c>
      <c r="B121" t="str">
        <f t="shared" si="1"/>
        <v>February</v>
      </c>
      <c r="C121" t="s">
        <v>19</v>
      </c>
      <c r="D121" t="s">
        <v>11</v>
      </c>
      <c r="E121" t="s">
        <v>12</v>
      </c>
      <c r="F121" t="s">
        <v>13</v>
      </c>
      <c r="G121">
        <v>181</v>
      </c>
      <c r="H121">
        <v>404173</v>
      </c>
      <c r="I121">
        <v>269202</v>
      </c>
      <c r="J121">
        <v>454</v>
      </c>
      <c r="K121">
        <f>Table1[[#This Row],[Revenue]]-Table1[[#This Row],[Cost]]</f>
        <v>134971</v>
      </c>
      <c r="L121" s="1">
        <f>Table1[[#This Row],[profit]]/Table1[[#This Row],[Revenue]]</f>
        <v>0.33394363304822439</v>
      </c>
    </row>
    <row r="122" spans="1:12" x14ac:dyDescent="0.35">
      <c r="A122" t="s">
        <v>44</v>
      </c>
      <c r="B122" t="str">
        <f t="shared" si="1"/>
        <v>January</v>
      </c>
      <c r="C122" t="s">
        <v>19</v>
      </c>
      <c r="D122" t="s">
        <v>11</v>
      </c>
      <c r="E122" t="s">
        <v>29</v>
      </c>
      <c r="F122" t="s">
        <v>17</v>
      </c>
      <c r="G122">
        <v>179</v>
      </c>
      <c r="H122">
        <v>320410</v>
      </c>
      <c r="I122">
        <v>256308</v>
      </c>
      <c r="J122">
        <v>961</v>
      </c>
      <c r="K122">
        <f>Table1[[#This Row],[Revenue]]-Table1[[#This Row],[Cost]]</f>
        <v>64102</v>
      </c>
      <c r="L122" s="1">
        <f>Table1[[#This Row],[profit]]/Table1[[#This Row],[Revenue]]</f>
        <v>0.20006242002434382</v>
      </c>
    </row>
    <row r="123" spans="1:12" x14ac:dyDescent="0.35">
      <c r="A123" t="s">
        <v>69</v>
      </c>
      <c r="B123" t="str">
        <f t="shared" si="1"/>
        <v>January</v>
      </c>
      <c r="C123" t="s">
        <v>24</v>
      </c>
      <c r="D123" t="s">
        <v>11</v>
      </c>
      <c r="E123" t="s">
        <v>12</v>
      </c>
      <c r="F123" t="s">
        <v>13</v>
      </c>
      <c r="G123">
        <v>197</v>
      </c>
      <c r="H123">
        <v>448372</v>
      </c>
      <c r="I123">
        <v>286837</v>
      </c>
      <c r="J123">
        <v>517</v>
      </c>
      <c r="K123">
        <f>Table1[[#This Row],[Revenue]]-Table1[[#This Row],[Cost]]</f>
        <v>161535</v>
      </c>
      <c r="L123" s="1">
        <f>Table1[[#This Row],[profit]]/Table1[[#This Row],[Revenue]]</f>
        <v>0.36027004362449039</v>
      </c>
    </row>
    <row r="124" spans="1:12" x14ac:dyDescent="0.35">
      <c r="A124" t="s">
        <v>26</v>
      </c>
      <c r="B124" t="str">
        <f t="shared" si="1"/>
        <v>February</v>
      </c>
      <c r="C124" t="s">
        <v>10</v>
      </c>
      <c r="D124" t="s">
        <v>11</v>
      </c>
      <c r="E124" t="s">
        <v>16</v>
      </c>
      <c r="F124" t="s">
        <v>17</v>
      </c>
      <c r="G124">
        <v>173</v>
      </c>
      <c r="H124">
        <v>363992</v>
      </c>
      <c r="I124">
        <v>298781</v>
      </c>
      <c r="J124">
        <v>620</v>
      </c>
      <c r="K124">
        <f>Table1[[#This Row],[Revenue]]-Table1[[#This Row],[Cost]]</f>
        <v>65211</v>
      </c>
      <c r="L124" s="1">
        <f>Table1[[#This Row],[profit]]/Table1[[#This Row],[Revenue]]</f>
        <v>0.17915503637442581</v>
      </c>
    </row>
    <row r="125" spans="1:12" x14ac:dyDescent="0.35">
      <c r="A125" t="s">
        <v>73</v>
      </c>
      <c r="B125" t="str">
        <f t="shared" si="1"/>
        <v>February</v>
      </c>
      <c r="C125" t="s">
        <v>42</v>
      </c>
      <c r="D125" t="s">
        <v>11</v>
      </c>
      <c r="E125" t="s">
        <v>20</v>
      </c>
      <c r="F125" t="s">
        <v>13</v>
      </c>
      <c r="G125">
        <v>143</v>
      </c>
      <c r="H125">
        <v>275275</v>
      </c>
      <c r="I125">
        <v>182294</v>
      </c>
      <c r="J125">
        <v>874</v>
      </c>
      <c r="K125">
        <f>Table1[[#This Row],[Revenue]]-Table1[[#This Row],[Cost]]</f>
        <v>92981</v>
      </c>
      <c r="L125" s="1">
        <f>Table1[[#This Row],[profit]]/Table1[[#This Row],[Revenue]]</f>
        <v>0.33777495232040688</v>
      </c>
    </row>
    <row r="126" spans="1:12" x14ac:dyDescent="0.35">
      <c r="A126" t="s">
        <v>9</v>
      </c>
      <c r="B126" t="str">
        <f t="shared" si="1"/>
        <v>February</v>
      </c>
      <c r="C126" t="s">
        <v>24</v>
      </c>
      <c r="D126" t="s">
        <v>11</v>
      </c>
      <c r="E126" t="s">
        <v>16</v>
      </c>
      <c r="F126" t="s">
        <v>17</v>
      </c>
      <c r="G126">
        <v>197</v>
      </c>
      <c r="H126">
        <v>397546</v>
      </c>
      <c r="I126">
        <v>316734</v>
      </c>
      <c r="J126">
        <v>737</v>
      </c>
      <c r="K126">
        <f>Table1[[#This Row],[Revenue]]-Table1[[#This Row],[Cost]]</f>
        <v>80812</v>
      </c>
      <c r="L126" s="1">
        <f>Table1[[#This Row],[profit]]/Table1[[#This Row],[Revenue]]</f>
        <v>0.20327710503941682</v>
      </c>
    </row>
    <row r="127" spans="1:12" x14ac:dyDescent="0.35">
      <c r="A127" t="s">
        <v>44</v>
      </c>
      <c r="B127" t="str">
        <f t="shared" si="1"/>
        <v>January</v>
      </c>
      <c r="C127" t="s">
        <v>10</v>
      </c>
      <c r="D127" t="s">
        <v>11</v>
      </c>
      <c r="E127" t="s">
        <v>20</v>
      </c>
      <c r="F127" t="s">
        <v>17</v>
      </c>
      <c r="G127">
        <v>112</v>
      </c>
      <c r="H127">
        <v>240688</v>
      </c>
      <c r="I127">
        <v>165914</v>
      </c>
      <c r="J127">
        <v>576</v>
      </c>
      <c r="K127">
        <f>Table1[[#This Row],[Revenue]]-Table1[[#This Row],[Cost]]</f>
        <v>74774</v>
      </c>
      <c r="L127" s="1">
        <f>Table1[[#This Row],[profit]]/Table1[[#This Row],[Revenue]]</f>
        <v>0.31066775244299677</v>
      </c>
    </row>
    <row r="128" spans="1:12" x14ac:dyDescent="0.35">
      <c r="A128" t="s">
        <v>31</v>
      </c>
      <c r="B128" t="str">
        <f t="shared" si="1"/>
        <v>February</v>
      </c>
      <c r="C128" t="s">
        <v>19</v>
      </c>
      <c r="D128" t="s">
        <v>11</v>
      </c>
      <c r="E128" t="s">
        <v>16</v>
      </c>
      <c r="F128" t="s">
        <v>17</v>
      </c>
      <c r="G128">
        <v>123</v>
      </c>
      <c r="H128">
        <v>187329</v>
      </c>
      <c r="I128">
        <v>136776</v>
      </c>
      <c r="J128">
        <v>545</v>
      </c>
      <c r="K128">
        <f>Table1[[#This Row],[Revenue]]-Table1[[#This Row],[Cost]]</f>
        <v>50553</v>
      </c>
      <c r="L128" s="1">
        <f>Table1[[#This Row],[profit]]/Table1[[#This Row],[Revenue]]</f>
        <v>0.26986211424819434</v>
      </c>
    </row>
    <row r="129" spans="1:12" x14ac:dyDescent="0.35">
      <c r="A129" t="s">
        <v>45</v>
      </c>
      <c r="B129" t="str">
        <f t="shared" si="1"/>
        <v>January</v>
      </c>
      <c r="C129" t="s">
        <v>42</v>
      </c>
      <c r="D129" t="s">
        <v>11</v>
      </c>
      <c r="E129" t="s">
        <v>29</v>
      </c>
      <c r="F129" t="s">
        <v>30</v>
      </c>
      <c r="G129">
        <v>79</v>
      </c>
      <c r="H129">
        <v>168665</v>
      </c>
      <c r="I129">
        <v>104701</v>
      </c>
      <c r="J129">
        <v>707</v>
      </c>
      <c r="K129">
        <f>Table1[[#This Row],[Revenue]]-Table1[[#This Row],[Cost]]</f>
        <v>63964</v>
      </c>
      <c r="L129" s="1">
        <f>Table1[[#This Row],[profit]]/Table1[[#This Row],[Revenue]]</f>
        <v>0.37923694898170929</v>
      </c>
    </row>
    <row r="130" spans="1:12" x14ac:dyDescent="0.35">
      <c r="A130" t="s">
        <v>59</v>
      </c>
      <c r="B130" t="str">
        <f t="shared" si="1"/>
        <v>January</v>
      </c>
      <c r="C130" t="s">
        <v>22</v>
      </c>
      <c r="D130" t="s">
        <v>11</v>
      </c>
      <c r="E130" t="s">
        <v>12</v>
      </c>
      <c r="F130" t="s">
        <v>17</v>
      </c>
      <c r="G130">
        <v>168</v>
      </c>
      <c r="H130">
        <v>278880</v>
      </c>
      <c r="I130">
        <v>225332</v>
      </c>
      <c r="J130">
        <v>669</v>
      </c>
      <c r="K130">
        <f>Table1[[#This Row],[Revenue]]-Table1[[#This Row],[Cost]]</f>
        <v>53548</v>
      </c>
      <c r="L130" s="1">
        <f>Table1[[#This Row],[profit]]/Table1[[#This Row],[Revenue]]</f>
        <v>0.19201090074584051</v>
      </c>
    </row>
    <row r="131" spans="1:12" x14ac:dyDescent="0.35">
      <c r="A131" t="s">
        <v>37</v>
      </c>
      <c r="B131" t="str">
        <f t="shared" ref="B131:B194" si="2">TEXT(A131,"mmmm")</f>
        <v>January</v>
      </c>
      <c r="C131" t="s">
        <v>15</v>
      </c>
      <c r="D131" t="s">
        <v>11</v>
      </c>
      <c r="E131" t="s">
        <v>29</v>
      </c>
      <c r="F131" t="s">
        <v>17</v>
      </c>
      <c r="G131">
        <v>159</v>
      </c>
      <c r="H131">
        <v>395751</v>
      </c>
      <c r="I131">
        <v>244775</v>
      </c>
      <c r="J131">
        <v>344</v>
      </c>
      <c r="K131">
        <f>Table1[[#This Row],[Revenue]]-Table1[[#This Row],[Cost]]</f>
        <v>150976</v>
      </c>
      <c r="L131" s="1">
        <f>Table1[[#This Row],[profit]]/Table1[[#This Row],[Revenue]]</f>
        <v>0.38149240305141363</v>
      </c>
    </row>
    <row r="132" spans="1:12" x14ac:dyDescent="0.35">
      <c r="A132" t="s">
        <v>26</v>
      </c>
      <c r="B132" t="str">
        <f t="shared" si="2"/>
        <v>February</v>
      </c>
      <c r="C132" t="s">
        <v>22</v>
      </c>
      <c r="D132" t="s">
        <v>11</v>
      </c>
      <c r="E132" t="s">
        <v>12</v>
      </c>
      <c r="F132" t="s">
        <v>30</v>
      </c>
      <c r="G132">
        <v>167</v>
      </c>
      <c r="H132">
        <v>355376</v>
      </c>
      <c r="I132">
        <v>258120</v>
      </c>
      <c r="J132">
        <v>804</v>
      </c>
      <c r="K132">
        <f>Table1[[#This Row],[Revenue]]-Table1[[#This Row],[Cost]]</f>
        <v>97256</v>
      </c>
      <c r="L132" s="1">
        <f>Table1[[#This Row],[profit]]/Table1[[#This Row],[Revenue]]</f>
        <v>0.27367070370537122</v>
      </c>
    </row>
    <row r="133" spans="1:12" x14ac:dyDescent="0.35">
      <c r="A133" t="s">
        <v>57</v>
      </c>
      <c r="B133" t="str">
        <f t="shared" si="2"/>
        <v>February</v>
      </c>
      <c r="C133" t="s">
        <v>19</v>
      </c>
      <c r="D133" t="s">
        <v>11</v>
      </c>
      <c r="E133" t="s">
        <v>29</v>
      </c>
      <c r="F133" t="s">
        <v>17</v>
      </c>
      <c r="G133">
        <v>119</v>
      </c>
      <c r="H133">
        <v>219793</v>
      </c>
      <c r="I133">
        <v>153321</v>
      </c>
      <c r="J133">
        <v>917</v>
      </c>
      <c r="K133">
        <f>Table1[[#This Row],[Revenue]]-Table1[[#This Row],[Cost]]</f>
        <v>66472</v>
      </c>
      <c r="L133" s="1">
        <f>Table1[[#This Row],[profit]]/Table1[[#This Row],[Revenue]]</f>
        <v>0.30243001369470363</v>
      </c>
    </row>
    <row r="134" spans="1:12" x14ac:dyDescent="0.35">
      <c r="A134" t="s">
        <v>59</v>
      </c>
      <c r="B134" t="str">
        <f t="shared" si="2"/>
        <v>January</v>
      </c>
      <c r="C134" t="s">
        <v>15</v>
      </c>
      <c r="D134" t="s">
        <v>11</v>
      </c>
      <c r="E134" t="s">
        <v>29</v>
      </c>
      <c r="F134" t="s">
        <v>30</v>
      </c>
      <c r="G134">
        <v>111</v>
      </c>
      <c r="H134">
        <v>237096</v>
      </c>
      <c r="I134">
        <v>184019</v>
      </c>
      <c r="J134">
        <v>219</v>
      </c>
      <c r="K134">
        <f>Table1[[#This Row],[Revenue]]-Table1[[#This Row],[Cost]]</f>
        <v>53077</v>
      </c>
      <c r="L134" s="1">
        <f>Table1[[#This Row],[profit]]/Table1[[#This Row],[Revenue]]</f>
        <v>0.2238629078516719</v>
      </c>
    </row>
    <row r="135" spans="1:12" x14ac:dyDescent="0.35">
      <c r="A135" t="s">
        <v>35</v>
      </c>
      <c r="B135" t="str">
        <f t="shared" si="2"/>
        <v>February</v>
      </c>
      <c r="C135" t="s">
        <v>19</v>
      </c>
      <c r="D135" t="s">
        <v>11</v>
      </c>
      <c r="E135" t="s">
        <v>29</v>
      </c>
      <c r="F135" t="s">
        <v>13</v>
      </c>
      <c r="G135">
        <v>172</v>
      </c>
      <c r="H135">
        <v>386656</v>
      </c>
      <c r="I135">
        <v>233606</v>
      </c>
      <c r="J135">
        <v>415</v>
      </c>
      <c r="K135">
        <f>Table1[[#This Row],[Revenue]]-Table1[[#This Row],[Cost]]</f>
        <v>153050</v>
      </c>
      <c r="L135" s="1">
        <f>Table1[[#This Row],[profit]]/Table1[[#This Row],[Revenue]]</f>
        <v>0.39582988496234378</v>
      </c>
    </row>
    <row r="136" spans="1:12" x14ac:dyDescent="0.35">
      <c r="A136" t="s">
        <v>48</v>
      </c>
      <c r="B136" t="str">
        <f t="shared" si="2"/>
        <v>January</v>
      </c>
      <c r="C136" t="s">
        <v>42</v>
      </c>
      <c r="D136" t="s">
        <v>11</v>
      </c>
      <c r="E136" t="s">
        <v>29</v>
      </c>
      <c r="F136" t="s">
        <v>30</v>
      </c>
      <c r="G136">
        <v>112</v>
      </c>
      <c r="H136">
        <v>191744</v>
      </c>
      <c r="I136">
        <v>121813</v>
      </c>
      <c r="J136">
        <v>979</v>
      </c>
      <c r="K136">
        <f>Table1[[#This Row],[Revenue]]-Table1[[#This Row],[Cost]]</f>
        <v>69931</v>
      </c>
      <c r="L136" s="1">
        <f>Table1[[#This Row],[profit]]/Table1[[#This Row],[Revenue]]</f>
        <v>0.3647102386515354</v>
      </c>
    </row>
    <row r="137" spans="1:12" x14ac:dyDescent="0.35">
      <c r="A137" t="s">
        <v>69</v>
      </c>
      <c r="B137" t="str">
        <f t="shared" si="2"/>
        <v>January</v>
      </c>
      <c r="C137" t="s">
        <v>15</v>
      </c>
      <c r="D137" t="s">
        <v>11</v>
      </c>
      <c r="E137" t="s">
        <v>16</v>
      </c>
      <c r="F137" t="s">
        <v>17</v>
      </c>
      <c r="G137">
        <v>151</v>
      </c>
      <c r="H137">
        <v>321630</v>
      </c>
      <c r="I137">
        <v>220753</v>
      </c>
      <c r="J137">
        <v>612</v>
      </c>
      <c r="K137">
        <f>Table1[[#This Row],[Revenue]]-Table1[[#This Row],[Cost]]</f>
        <v>100877</v>
      </c>
      <c r="L137" s="1">
        <f>Table1[[#This Row],[profit]]/Table1[[#This Row],[Revenue]]</f>
        <v>0.31364300593850075</v>
      </c>
    </row>
    <row r="138" spans="1:12" x14ac:dyDescent="0.35">
      <c r="A138" t="s">
        <v>76</v>
      </c>
      <c r="B138" t="str">
        <f t="shared" si="2"/>
        <v>January</v>
      </c>
      <c r="C138" t="s">
        <v>15</v>
      </c>
      <c r="D138" t="s">
        <v>11</v>
      </c>
      <c r="E138" t="s">
        <v>29</v>
      </c>
      <c r="F138" t="s">
        <v>17</v>
      </c>
      <c r="G138">
        <v>101</v>
      </c>
      <c r="H138">
        <v>251288</v>
      </c>
      <c r="I138">
        <v>174942</v>
      </c>
      <c r="J138">
        <v>538</v>
      </c>
      <c r="K138">
        <f>Table1[[#This Row],[Revenue]]-Table1[[#This Row],[Cost]]</f>
        <v>76346</v>
      </c>
      <c r="L138" s="1">
        <f>Table1[[#This Row],[profit]]/Table1[[#This Row],[Revenue]]</f>
        <v>0.30381872592403936</v>
      </c>
    </row>
    <row r="139" spans="1:12" x14ac:dyDescent="0.35">
      <c r="A139" t="s">
        <v>53</v>
      </c>
      <c r="B139" t="str">
        <f t="shared" si="2"/>
        <v>January</v>
      </c>
      <c r="C139" t="s">
        <v>15</v>
      </c>
      <c r="D139" t="s">
        <v>11</v>
      </c>
      <c r="E139" t="s">
        <v>16</v>
      </c>
      <c r="F139" t="s">
        <v>13</v>
      </c>
      <c r="G139">
        <v>98</v>
      </c>
      <c r="H139">
        <v>215404</v>
      </c>
      <c r="I139">
        <v>172375</v>
      </c>
      <c r="J139">
        <v>884</v>
      </c>
      <c r="K139">
        <f>Table1[[#This Row],[Revenue]]-Table1[[#This Row],[Cost]]</f>
        <v>43029</v>
      </c>
      <c r="L139" s="1">
        <f>Table1[[#This Row],[profit]]/Table1[[#This Row],[Revenue]]</f>
        <v>0.19975952164305213</v>
      </c>
    </row>
    <row r="140" spans="1:12" x14ac:dyDescent="0.35">
      <c r="A140" t="s">
        <v>9</v>
      </c>
      <c r="B140" t="str">
        <f t="shared" si="2"/>
        <v>February</v>
      </c>
      <c r="C140" t="s">
        <v>10</v>
      </c>
      <c r="D140" t="s">
        <v>11</v>
      </c>
      <c r="E140" t="s">
        <v>12</v>
      </c>
      <c r="F140" t="s">
        <v>13</v>
      </c>
      <c r="G140">
        <v>115</v>
      </c>
      <c r="H140">
        <v>274620</v>
      </c>
      <c r="I140">
        <v>224593</v>
      </c>
      <c r="J140">
        <v>323</v>
      </c>
      <c r="K140">
        <f>Table1[[#This Row],[Revenue]]-Table1[[#This Row],[Cost]]</f>
        <v>50027</v>
      </c>
      <c r="L140" s="1">
        <f>Table1[[#This Row],[profit]]/Table1[[#This Row],[Revenue]]</f>
        <v>0.18216808681086594</v>
      </c>
    </row>
    <row r="141" spans="1:12" x14ac:dyDescent="0.35">
      <c r="A141" t="s">
        <v>14</v>
      </c>
      <c r="B141" t="str">
        <f t="shared" si="2"/>
        <v>February</v>
      </c>
      <c r="C141" t="s">
        <v>15</v>
      </c>
      <c r="D141" t="s">
        <v>11</v>
      </c>
      <c r="E141" t="s">
        <v>20</v>
      </c>
      <c r="F141" t="s">
        <v>30</v>
      </c>
      <c r="G141">
        <v>150</v>
      </c>
      <c r="H141">
        <v>371700</v>
      </c>
      <c r="I141">
        <v>243247</v>
      </c>
      <c r="J141">
        <v>344</v>
      </c>
      <c r="K141">
        <f>Table1[[#This Row],[Revenue]]-Table1[[#This Row],[Cost]]</f>
        <v>128453</v>
      </c>
      <c r="L141" s="1">
        <f>Table1[[#This Row],[profit]]/Table1[[#This Row],[Revenue]]</f>
        <v>0.34558245897228951</v>
      </c>
    </row>
    <row r="142" spans="1:12" x14ac:dyDescent="0.35">
      <c r="A142" t="s">
        <v>60</v>
      </c>
      <c r="B142" t="str">
        <f t="shared" si="2"/>
        <v>February</v>
      </c>
      <c r="C142" t="s">
        <v>42</v>
      </c>
      <c r="D142" t="s">
        <v>11</v>
      </c>
      <c r="E142" t="s">
        <v>12</v>
      </c>
      <c r="F142" t="s">
        <v>17</v>
      </c>
      <c r="G142">
        <v>104</v>
      </c>
      <c r="H142">
        <v>195832</v>
      </c>
      <c r="I142">
        <v>147544</v>
      </c>
      <c r="J142">
        <v>795</v>
      </c>
      <c r="K142">
        <f>Table1[[#This Row],[Revenue]]-Table1[[#This Row],[Cost]]</f>
        <v>48288</v>
      </c>
      <c r="L142" s="1">
        <f>Table1[[#This Row],[profit]]/Table1[[#This Row],[Revenue]]</f>
        <v>0.24657870011029862</v>
      </c>
    </row>
    <row r="143" spans="1:12" x14ac:dyDescent="0.35">
      <c r="A143" t="s">
        <v>37</v>
      </c>
      <c r="B143" t="str">
        <f t="shared" si="2"/>
        <v>January</v>
      </c>
      <c r="C143" t="s">
        <v>22</v>
      </c>
      <c r="D143" t="s">
        <v>11</v>
      </c>
      <c r="E143" t="s">
        <v>20</v>
      </c>
      <c r="F143" t="s">
        <v>13</v>
      </c>
      <c r="G143">
        <v>162</v>
      </c>
      <c r="H143">
        <v>261306</v>
      </c>
      <c r="I143">
        <v>174612</v>
      </c>
      <c r="J143">
        <v>508</v>
      </c>
      <c r="K143">
        <f>Table1[[#This Row],[Revenue]]-Table1[[#This Row],[Cost]]</f>
        <v>86694</v>
      </c>
      <c r="L143" s="1">
        <f>Table1[[#This Row],[profit]]/Table1[[#This Row],[Revenue]]</f>
        <v>0.33177194553511974</v>
      </c>
    </row>
    <row r="144" spans="1:12" x14ac:dyDescent="0.35">
      <c r="A144" t="s">
        <v>18</v>
      </c>
      <c r="B144" t="str">
        <f t="shared" si="2"/>
        <v>February</v>
      </c>
      <c r="C144" t="s">
        <v>19</v>
      </c>
      <c r="D144" t="s">
        <v>11</v>
      </c>
      <c r="E144" t="s">
        <v>20</v>
      </c>
      <c r="F144" t="s">
        <v>17</v>
      </c>
      <c r="G144">
        <v>63</v>
      </c>
      <c r="H144">
        <v>128583</v>
      </c>
      <c r="I144">
        <v>90297</v>
      </c>
      <c r="J144">
        <v>209</v>
      </c>
      <c r="K144">
        <f>Table1[[#This Row],[Revenue]]-Table1[[#This Row],[Cost]]</f>
        <v>38286</v>
      </c>
      <c r="L144" s="1">
        <f>Table1[[#This Row],[profit]]/Table1[[#This Row],[Revenue]]</f>
        <v>0.29775320221180096</v>
      </c>
    </row>
    <row r="145" spans="1:12" x14ac:dyDescent="0.35">
      <c r="A145" t="s">
        <v>14</v>
      </c>
      <c r="B145" t="str">
        <f t="shared" si="2"/>
        <v>February</v>
      </c>
      <c r="C145" t="s">
        <v>10</v>
      </c>
      <c r="D145" t="s">
        <v>11</v>
      </c>
      <c r="E145" t="s">
        <v>12</v>
      </c>
      <c r="F145" t="s">
        <v>30</v>
      </c>
      <c r="G145">
        <v>179</v>
      </c>
      <c r="H145">
        <v>311460</v>
      </c>
      <c r="I145">
        <v>198934</v>
      </c>
      <c r="J145">
        <v>413</v>
      </c>
      <c r="K145">
        <f>Table1[[#This Row],[Revenue]]-Table1[[#This Row],[Cost]]</f>
        <v>112526</v>
      </c>
      <c r="L145" s="1">
        <f>Table1[[#This Row],[profit]]/Table1[[#This Row],[Revenue]]</f>
        <v>0.36128555833814935</v>
      </c>
    </row>
    <row r="146" spans="1:12" x14ac:dyDescent="0.35">
      <c r="A146" t="s">
        <v>70</v>
      </c>
      <c r="B146" t="str">
        <f t="shared" si="2"/>
        <v>March</v>
      </c>
      <c r="C146" t="s">
        <v>10</v>
      </c>
      <c r="D146" t="s">
        <v>11</v>
      </c>
      <c r="E146" t="s">
        <v>12</v>
      </c>
      <c r="F146" t="s">
        <v>30</v>
      </c>
      <c r="G146">
        <v>85</v>
      </c>
      <c r="H146">
        <v>142035</v>
      </c>
      <c r="I146">
        <v>112420</v>
      </c>
      <c r="J146">
        <v>493</v>
      </c>
      <c r="K146">
        <f>Table1[[#This Row],[Revenue]]-Table1[[#This Row],[Cost]]</f>
        <v>29615</v>
      </c>
      <c r="L146" s="1">
        <f>Table1[[#This Row],[profit]]/Table1[[#This Row],[Revenue]]</f>
        <v>0.20850494596402294</v>
      </c>
    </row>
    <row r="147" spans="1:12" x14ac:dyDescent="0.35">
      <c r="A147" t="s">
        <v>58</v>
      </c>
      <c r="B147" t="str">
        <f t="shared" si="2"/>
        <v>January</v>
      </c>
      <c r="C147" t="s">
        <v>22</v>
      </c>
      <c r="D147" t="s">
        <v>11</v>
      </c>
      <c r="E147" t="s">
        <v>12</v>
      </c>
      <c r="F147" t="s">
        <v>17</v>
      </c>
      <c r="G147">
        <v>99</v>
      </c>
      <c r="H147">
        <v>164340</v>
      </c>
      <c r="I147">
        <v>98806</v>
      </c>
      <c r="J147">
        <v>684</v>
      </c>
      <c r="K147">
        <f>Table1[[#This Row],[Revenue]]-Table1[[#This Row],[Cost]]</f>
        <v>65534</v>
      </c>
      <c r="L147" s="1">
        <f>Table1[[#This Row],[profit]]/Table1[[#This Row],[Revenue]]</f>
        <v>0.39877084093951565</v>
      </c>
    </row>
    <row r="148" spans="1:12" x14ac:dyDescent="0.35">
      <c r="A148" t="s">
        <v>43</v>
      </c>
      <c r="B148" t="str">
        <f t="shared" si="2"/>
        <v>January</v>
      </c>
      <c r="C148" t="s">
        <v>10</v>
      </c>
      <c r="D148" t="s">
        <v>11</v>
      </c>
      <c r="E148" t="s">
        <v>29</v>
      </c>
      <c r="F148" t="s">
        <v>17</v>
      </c>
      <c r="G148">
        <v>193</v>
      </c>
      <c r="H148">
        <v>479991</v>
      </c>
      <c r="I148">
        <v>295453</v>
      </c>
      <c r="J148">
        <v>693</v>
      </c>
      <c r="K148">
        <f>Table1[[#This Row],[Revenue]]-Table1[[#This Row],[Cost]]</f>
        <v>184538</v>
      </c>
      <c r="L148" s="1">
        <f>Table1[[#This Row],[profit]]/Table1[[#This Row],[Revenue]]</f>
        <v>0.38446137531745389</v>
      </c>
    </row>
    <row r="149" spans="1:12" x14ac:dyDescent="0.35">
      <c r="A149" t="s">
        <v>41</v>
      </c>
      <c r="B149" t="str">
        <f t="shared" si="2"/>
        <v>February</v>
      </c>
      <c r="C149" t="s">
        <v>42</v>
      </c>
      <c r="D149" t="s">
        <v>11</v>
      </c>
      <c r="E149" t="s">
        <v>20</v>
      </c>
      <c r="F149" t="s">
        <v>13</v>
      </c>
      <c r="G149">
        <v>99</v>
      </c>
      <c r="H149">
        <v>222057</v>
      </c>
      <c r="I149">
        <v>182695</v>
      </c>
      <c r="J149">
        <v>221</v>
      </c>
      <c r="K149">
        <f>Table1[[#This Row],[Revenue]]-Table1[[#This Row],[Cost]]</f>
        <v>39362</v>
      </c>
      <c r="L149" s="1">
        <f>Table1[[#This Row],[profit]]/Table1[[#This Row],[Revenue]]</f>
        <v>0.17726079339989281</v>
      </c>
    </row>
    <row r="150" spans="1:12" x14ac:dyDescent="0.35">
      <c r="A150" t="s">
        <v>71</v>
      </c>
      <c r="B150" t="str">
        <f t="shared" si="2"/>
        <v>February</v>
      </c>
      <c r="C150" t="s">
        <v>22</v>
      </c>
      <c r="D150" t="s">
        <v>11</v>
      </c>
      <c r="E150" t="s">
        <v>12</v>
      </c>
      <c r="F150" t="s">
        <v>30</v>
      </c>
      <c r="G150">
        <v>73</v>
      </c>
      <c r="H150">
        <v>171039</v>
      </c>
      <c r="I150">
        <v>110797</v>
      </c>
      <c r="J150">
        <v>767</v>
      </c>
      <c r="K150">
        <f>Table1[[#This Row],[Revenue]]-Table1[[#This Row],[Cost]]</f>
        <v>60242</v>
      </c>
      <c r="L150" s="1">
        <f>Table1[[#This Row],[profit]]/Table1[[#This Row],[Revenue]]</f>
        <v>0.35221206859254323</v>
      </c>
    </row>
    <row r="151" spans="1:12" x14ac:dyDescent="0.35">
      <c r="A151" t="s">
        <v>43</v>
      </c>
      <c r="B151" t="str">
        <f t="shared" si="2"/>
        <v>January</v>
      </c>
      <c r="C151" t="s">
        <v>19</v>
      </c>
      <c r="D151" t="s">
        <v>11</v>
      </c>
      <c r="E151" t="s">
        <v>12</v>
      </c>
      <c r="F151" t="s">
        <v>30</v>
      </c>
      <c r="G151">
        <v>146</v>
      </c>
      <c r="H151">
        <v>353904</v>
      </c>
      <c r="I151">
        <v>248564</v>
      </c>
      <c r="J151">
        <v>313</v>
      </c>
      <c r="K151">
        <f>Table1[[#This Row],[Revenue]]-Table1[[#This Row],[Cost]]</f>
        <v>105340</v>
      </c>
      <c r="L151" s="1">
        <f>Table1[[#This Row],[profit]]/Table1[[#This Row],[Revenue]]</f>
        <v>0.29765134047651343</v>
      </c>
    </row>
    <row r="152" spans="1:12" x14ac:dyDescent="0.35">
      <c r="A152" t="s">
        <v>23</v>
      </c>
      <c r="B152" t="str">
        <f t="shared" si="2"/>
        <v>March</v>
      </c>
      <c r="C152" t="s">
        <v>42</v>
      </c>
      <c r="D152" t="s">
        <v>11</v>
      </c>
      <c r="E152" t="s">
        <v>20</v>
      </c>
      <c r="F152" t="s">
        <v>30</v>
      </c>
      <c r="G152">
        <v>140</v>
      </c>
      <c r="H152">
        <v>305200</v>
      </c>
      <c r="I152">
        <v>227464</v>
      </c>
      <c r="J152">
        <v>320</v>
      </c>
      <c r="K152">
        <f>Table1[[#This Row],[Revenue]]-Table1[[#This Row],[Cost]]</f>
        <v>77736</v>
      </c>
      <c r="L152" s="1">
        <f>Table1[[#This Row],[profit]]/Table1[[#This Row],[Revenue]]</f>
        <v>0.25470511140235913</v>
      </c>
    </row>
    <row r="153" spans="1:12" x14ac:dyDescent="0.35">
      <c r="A153" t="s">
        <v>54</v>
      </c>
      <c r="B153" t="str">
        <f t="shared" si="2"/>
        <v>February</v>
      </c>
      <c r="C153" t="s">
        <v>22</v>
      </c>
      <c r="D153" t="s">
        <v>11</v>
      </c>
      <c r="E153" t="s">
        <v>20</v>
      </c>
      <c r="F153" t="s">
        <v>13</v>
      </c>
      <c r="G153">
        <v>154</v>
      </c>
      <c r="H153">
        <v>316932</v>
      </c>
      <c r="I153">
        <v>210802</v>
      </c>
      <c r="J153">
        <v>559</v>
      </c>
      <c r="K153">
        <f>Table1[[#This Row],[Revenue]]-Table1[[#This Row],[Cost]]</f>
        <v>106130</v>
      </c>
      <c r="L153" s="1">
        <f>Table1[[#This Row],[profit]]/Table1[[#This Row],[Revenue]]</f>
        <v>0.33486678530410308</v>
      </c>
    </row>
    <row r="154" spans="1:12" x14ac:dyDescent="0.35">
      <c r="A154" t="s">
        <v>55</v>
      </c>
      <c r="B154" t="str">
        <f t="shared" si="2"/>
        <v>February</v>
      </c>
      <c r="C154" t="s">
        <v>22</v>
      </c>
      <c r="D154" t="s">
        <v>11</v>
      </c>
      <c r="E154" t="s">
        <v>29</v>
      </c>
      <c r="F154" t="s">
        <v>17</v>
      </c>
      <c r="G154">
        <v>132</v>
      </c>
      <c r="H154">
        <v>243144</v>
      </c>
      <c r="I154">
        <v>184140</v>
      </c>
      <c r="J154">
        <v>218</v>
      </c>
      <c r="K154">
        <f>Table1[[#This Row],[Revenue]]-Table1[[#This Row],[Cost]]</f>
        <v>59004</v>
      </c>
      <c r="L154" s="1">
        <f>Table1[[#This Row],[profit]]/Table1[[#This Row],[Revenue]]</f>
        <v>0.24267100977198697</v>
      </c>
    </row>
    <row r="155" spans="1:12" x14ac:dyDescent="0.35">
      <c r="A155" t="s">
        <v>39</v>
      </c>
      <c r="B155" t="str">
        <f t="shared" si="2"/>
        <v>January</v>
      </c>
      <c r="C155" t="s">
        <v>10</v>
      </c>
      <c r="D155" t="s">
        <v>11</v>
      </c>
      <c r="E155" t="s">
        <v>29</v>
      </c>
      <c r="F155" t="s">
        <v>13</v>
      </c>
      <c r="G155">
        <v>163</v>
      </c>
      <c r="H155">
        <v>259007</v>
      </c>
      <c r="I155">
        <v>219794</v>
      </c>
      <c r="J155">
        <v>824</v>
      </c>
      <c r="K155">
        <f>Table1[[#This Row],[Revenue]]-Table1[[#This Row],[Cost]]</f>
        <v>39213</v>
      </c>
      <c r="L155" s="1">
        <f>Table1[[#This Row],[profit]]/Table1[[#This Row],[Revenue]]</f>
        <v>0.15139745257850173</v>
      </c>
    </row>
    <row r="156" spans="1:12" x14ac:dyDescent="0.35">
      <c r="A156" t="s">
        <v>14</v>
      </c>
      <c r="B156" t="str">
        <f t="shared" si="2"/>
        <v>February</v>
      </c>
      <c r="C156" t="s">
        <v>19</v>
      </c>
      <c r="D156" t="s">
        <v>11</v>
      </c>
      <c r="E156" t="s">
        <v>12</v>
      </c>
      <c r="F156" t="s">
        <v>13</v>
      </c>
      <c r="G156">
        <v>55</v>
      </c>
      <c r="H156">
        <v>101970</v>
      </c>
      <c r="I156">
        <v>72354</v>
      </c>
      <c r="J156">
        <v>938</v>
      </c>
      <c r="K156">
        <f>Table1[[#This Row],[Revenue]]-Table1[[#This Row],[Cost]]</f>
        <v>29616</v>
      </c>
      <c r="L156" s="1">
        <f>Table1[[#This Row],[profit]]/Table1[[#This Row],[Revenue]]</f>
        <v>0.29043836422477198</v>
      </c>
    </row>
    <row r="157" spans="1:12" x14ac:dyDescent="0.35">
      <c r="A157" t="s">
        <v>65</v>
      </c>
      <c r="B157" t="str">
        <f t="shared" si="2"/>
        <v>January</v>
      </c>
      <c r="C157" t="s">
        <v>42</v>
      </c>
      <c r="D157" t="s">
        <v>11</v>
      </c>
      <c r="E157" t="s">
        <v>12</v>
      </c>
      <c r="F157" t="s">
        <v>13</v>
      </c>
      <c r="G157">
        <v>92</v>
      </c>
      <c r="H157">
        <v>164128</v>
      </c>
      <c r="I157">
        <v>115453</v>
      </c>
      <c r="J157">
        <v>318</v>
      </c>
      <c r="K157">
        <f>Table1[[#This Row],[Revenue]]-Table1[[#This Row],[Cost]]</f>
        <v>48675</v>
      </c>
      <c r="L157" s="1">
        <f>Table1[[#This Row],[profit]]/Table1[[#This Row],[Revenue]]</f>
        <v>0.29656731331643593</v>
      </c>
    </row>
    <row r="158" spans="1:12" x14ac:dyDescent="0.35">
      <c r="A158" t="s">
        <v>43</v>
      </c>
      <c r="B158" t="str">
        <f t="shared" si="2"/>
        <v>January</v>
      </c>
      <c r="C158" t="s">
        <v>15</v>
      </c>
      <c r="D158" t="s">
        <v>11</v>
      </c>
      <c r="E158" t="s">
        <v>16</v>
      </c>
      <c r="F158" t="s">
        <v>17</v>
      </c>
      <c r="G158">
        <v>171</v>
      </c>
      <c r="H158">
        <v>368163</v>
      </c>
      <c r="I158">
        <v>303555</v>
      </c>
      <c r="J158">
        <v>618</v>
      </c>
      <c r="K158">
        <f>Table1[[#This Row],[Revenue]]-Table1[[#This Row],[Cost]]</f>
        <v>64608</v>
      </c>
      <c r="L158" s="1">
        <f>Table1[[#This Row],[profit]]/Table1[[#This Row],[Revenue]]</f>
        <v>0.17548748787901011</v>
      </c>
    </row>
    <row r="159" spans="1:12" x14ac:dyDescent="0.35">
      <c r="A159" t="s">
        <v>71</v>
      </c>
      <c r="B159" t="str">
        <f t="shared" si="2"/>
        <v>February</v>
      </c>
      <c r="C159" t="s">
        <v>24</v>
      </c>
      <c r="D159" t="s">
        <v>11</v>
      </c>
      <c r="E159" t="s">
        <v>12</v>
      </c>
      <c r="F159" t="s">
        <v>13</v>
      </c>
      <c r="G159">
        <v>62</v>
      </c>
      <c r="H159">
        <v>126480</v>
      </c>
      <c r="I159">
        <v>104123</v>
      </c>
      <c r="J159">
        <v>431</v>
      </c>
      <c r="K159">
        <f>Table1[[#This Row],[Revenue]]-Table1[[#This Row],[Cost]]</f>
        <v>22357</v>
      </c>
      <c r="L159" s="1">
        <f>Table1[[#This Row],[profit]]/Table1[[#This Row],[Revenue]]</f>
        <v>0.17676312460468058</v>
      </c>
    </row>
    <row r="160" spans="1:12" x14ac:dyDescent="0.35">
      <c r="A160" t="s">
        <v>46</v>
      </c>
      <c r="B160" t="str">
        <f t="shared" si="2"/>
        <v>January</v>
      </c>
      <c r="C160" t="s">
        <v>24</v>
      </c>
      <c r="D160" t="s">
        <v>11</v>
      </c>
      <c r="E160" t="s">
        <v>16</v>
      </c>
      <c r="F160" t="s">
        <v>30</v>
      </c>
      <c r="G160">
        <v>122</v>
      </c>
      <c r="H160">
        <v>199836</v>
      </c>
      <c r="I160">
        <v>129162</v>
      </c>
      <c r="J160">
        <v>955</v>
      </c>
      <c r="K160">
        <f>Table1[[#This Row],[Revenue]]-Table1[[#This Row],[Cost]]</f>
        <v>70674</v>
      </c>
      <c r="L160" s="1">
        <f>Table1[[#This Row],[profit]]/Table1[[#This Row],[Revenue]]</f>
        <v>0.35366000120098479</v>
      </c>
    </row>
    <row r="161" spans="1:12" x14ac:dyDescent="0.35">
      <c r="A161" t="s">
        <v>34</v>
      </c>
      <c r="B161" t="str">
        <f t="shared" si="2"/>
        <v>February</v>
      </c>
      <c r="C161" t="s">
        <v>24</v>
      </c>
      <c r="D161" t="s">
        <v>11</v>
      </c>
      <c r="E161" t="s">
        <v>12</v>
      </c>
      <c r="F161" t="s">
        <v>17</v>
      </c>
      <c r="G161">
        <v>53</v>
      </c>
      <c r="H161">
        <v>96566</v>
      </c>
      <c r="I161">
        <v>70146</v>
      </c>
      <c r="J161">
        <v>630</v>
      </c>
      <c r="K161">
        <f>Table1[[#This Row],[Revenue]]-Table1[[#This Row],[Cost]]</f>
        <v>26420</v>
      </c>
      <c r="L161" s="1">
        <f>Table1[[#This Row],[profit]]/Table1[[#This Row],[Revenue]]</f>
        <v>0.27359526127208333</v>
      </c>
    </row>
    <row r="162" spans="1:12" x14ac:dyDescent="0.35">
      <c r="A162" t="s">
        <v>61</v>
      </c>
      <c r="B162" t="str">
        <f t="shared" si="2"/>
        <v>January</v>
      </c>
      <c r="C162" t="s">
        <v>24</v>
      </c>
      <c r="D162" t="s">
        <v>11</v>
      </c>
      <c r="E162" t="s">
        <v>12</v>
      </c>
      <c r="F162" t="s">
        <v>13</v>
      </c>
      <c r="G162">
        <v>59</v>
      </c>
      <c r="H162">
        <v>112985</v>
      </c>
      <c r="I162">
        <v>92963</v>
      </c>
      <c r="J162">
        <v>237</v>
      </c>
      <c r="K162">
        <f>Table1[[#This Row],[Revenue]]-Table1[[#This Row],[Cost]]</f>
        <v>20022</v>
      </c>
      <c r="L162" s="1">
        <f>Table1[[#This Row],[profit]]/Table1[[#This Row],[Revenue]]</f>
        <v>0.1772093640748772</v>
      </c>
    </row>
    <row r="163" spans="1:12" x14ac:dyDescent="0.35">
      <c r="A163" t="s">
        <v>77</v>
      </c>
      <c r="B163" t="str">
        <f t="shared" si="2"/>
        <v>January</v>
      </c>
      <c r="C163" t="s">
        <v>42</v>
      </c>
      <c r="D163" t="s">
        <v>11</v>
      </c>
      <c r="E163" t="s">
        <v>12</v>
      </c>
      <c r="F163" t="s">
        <v>30</v>
      </c>
      <c r="G163">
        <v>193</v>
      </c>
      <c r="H163">
        <v>325012</v>
      </c>
      <c r="I163">
        <v>234464</v>
      </c>
      <c r="J163">
        <v>275</v>
      </c>
      <c r="K163">
        <f>Table1[[#This Row],[Revenue]]-Table1[[#This Row],[Cost]]</f>
        <v>90548</v>
      </c>
      <c r="L163" s="1">
        <f>Table1[[#This Row],[profit]]/Table1[[#This Row],[Revenue]]</f>
        <v>0.27859894403898933</v>
      </c>
    </row>
    <row r="164" spans="1:12" x14ac:dyDescent="0.35">
      <c r="A164" t="s">
        <v>32</v>
      </c>
      <c r="B164" t="str">
        <f t="shared" si="2"/>
        <v>January</v>
      </c>
      <c r="C164" t="s">
        <v>24</v>
      </c>
      <c r="D164" t="s">
        <v>11</v>
      </c>
      <c r="E164" t="s">
        <v>16</v>
      </c>
      <c r="F164" t="s">
        <v>17</v>
      </c>
      <c r="G164">
        <v>183</v>
      </c>
      <c r="H164">
        <v>390522</v>
      </c>
      <c r="I164">
        <v>321327</v>
      </c>
      <c r="J164">
        <v>640</v>
      </c>
      <c r="K164">
        <f>Table1[[#This Row],[Revenue]]-Table1[[#This Row],[Cost]]</f>
        <v>69195</v>
      </c>
      <c r="L164" s="1">
        <f>Table1[[#This Row],[profit]]/Table1[[#This Row],[Revenue]]</f>
        <v>0.17718592038348671</v>
      </c>
    </row>
    <row r="165" spans="1:12" x14ac:dyDescent="0.35">
      <c r="A165" t="s">
        <v>75</v>
      </c>
      <c r="B165" t="str">
        <f t="shared" si="2"/>
        <v>February</v>
      </c>
      <c r="C165" t="s">
        <v>19</v>
      </c>
      <c r="D165" t="s">
        <v>11</v>
      </c>
      <c r="E165" t="s">
        <v>16</v>
      </c>
      <c r="F165" t="s">
        <v>13</v>
      </c>
      <c r="G165">
        <v>192</v>
      </c>
      <c r="H165">
        <v>475008</v>
      </c>
      <c r="I165">
        <v>360858</v>
      </c>
      <c r="J165">
        <v>780</v>
      </c>
      <c r="K165">
        <f>Table1[[#This Row],[Revenue]]-Table1[[#This Row],[Cost]]</f>
        <v>114150</v>
      </c>
      <c r="L165" s="1">
        <f>Table1[[#This Row],[profit]]/Table1[[#This Row],[Revenue]]</f>
        <v>0.2403117421180275</v>
      </c>
    </row>
    <row r="166" spans="1:12" x14ac:dyDescent="0.35">
      <c r="A166" t="s">
        <v>38</v>
      </c>
      <c r="B166" t="str">
        <f t="shared" si="2"/>
        <v>February</v>
      </c>
      <c r="C166" t="s">
        <v>24</v>
      </c>
      <c r="D166" t="s">
        <v>11</v>
      </c>
      <c r="E166" t="s">
        <v>20</v>
      </c>
      <c r="F166" t="s">
        <v>17</v>
      </c>
      <c r="G166">
        <v>61</v>
      </c>
      <c r="H166">
        <v>102541</v>
      </c>
      <c r="I166">
        <v>73976</v>
      </c>
      <c r="J166">
        <v>665</v>
      </c>
      <c r="K166">
        <f>Table1[[#This Row],[Revenue]]-Table1[[#This Row],[Cost]]</f>
        <v>28565</v>
      </c>
      <c r="L166" s="1">
        <f>Table1[[#This Row],[profit]]/Table1[[#This Row],[Revenue]]</f>
        <v>0.27857149822997629</v>
      </c>
    </row>
    <row r="167" spans="1:12" x14ac:dyDescent="0.35">
      <c r="A167" t="s">
        <v>45</v>
      </c>
      <c r="B167" t="str">
        <f t="shared" si="2"/>
        <v>January</v>
      </c>
      <c r="C167" t="s">
        <v>22</v>
      </c>
      <c r="D167" t="s">
        <v>11</v>
      </c>
      <c r="E167" t="s">
        <v>12</v>
      </c>
      <c r="F167" t="s">
        <v>30</v>
      </c>
      <c r="G167">
        <v>78</v>
      </c>
      <c r="H167">
        <v>123708</v>
      </c>
      <c r="I167">
        <v>87984</v>
      </c>
      <c r="J167">
        <v>535</v>
      </c>
      <c r="K167">
        <f>Table1[[#This Row],[Revenue]]-Table1[[#This Row],[Cost]]</f>
        <v>35724</v>
      </c>
      <c r="L167" s="1">
        <f>Table1[[#This Row],[profit]]/Table1[[#This Row],[Revenue]]</f>
        <v>0.28877679697351827</v>
      </c>
    </row>
    <row r="168" spans="1:12" x14ac:dyDescent="0.35">
      <c r="A168" t="s">
        <v>26</v>
      </c>
      <c r="B168" t="str">
        <f t="shared" si="2"/>
        <v>February</v>
      </c>
      <c r="C168" t="s">
        <v>24</v>
      </c>
      <c r="D168" t="s">
        <v>11</v>
      </c>
      <c r="E168" t="s">
        <v>16</v>
      </c>
      <c r="F168" t="s">
        <v>30</v>
      </c>
      <c r="G168">
        <v>89</v>
      </c>
      <c r="H168">
        <v>199182</v>
      </c>
      <c r="I168">
        <v>163392</v>
      </c>
      <c r="J168">
        <v>632</v>
      </c>
      <c r="K168">
        <f>Table1[[#This Row],[Revenue]]-Table1[[#This Row],[Cost]]</f>
        <v>35790</v>
      </c>
      <c r="L168" s="1">
        <f>Table1[[#This Row],[profit]]/Table1[[#This Row],[Revenue]]</f>
        <v>0.17968491128716449</v>
      </c>
    </row>
    <row r="169" spans="1:12" x14ac:dyDescent="0.35">
      <c r="A169" t="s">
        <v>32</v>
      </c>
      <c r="B169" t="str">
        <f t="shared" si="2"/>
        <v>January</v>
      </c>
      <c r="C169" t="s">
        <v>42</v>
      </c>
      <c r="D169" t="s">
        <v>11</v>
      </c>
      <c r="E169" t="s">
        <v>20</v>
      </c>
      <c r="F169" t="s">
        <v>17</v>
      </c>
      <c r="G169">
        <v>124</v>
      </c>
      <c r="H169">
        <v>202616</v>
      </c>
      <c r="I169">
        <v>135781</v>
      </c>
      <c r="J169">
        <v>665</v>
      </c>
      <c r="K169">
        <f>Table1[[#This Row],[Revenue]]-Table1[[#This Row],[Cost]]</f>
        <v>66835</v>
      </c>
      <c r="L169" s="1">
        <f>Table1[[#This Row],[profit]]/Table1[[#This Row],[Revenue]]</f>
        <v>0.329860425632724</v>
      </c>
    </row>
    <row r="170" spans="1:12" x14ac:dyDescent="0.35">
      <c r="A170" t="s">
        <v>57</v>
      </c>
      <c r="B170" t="str">
        <f t="shared" si="2"/>
        <v>February</v>
      </c>
      <c r="C170" t="s">
        <v>15</v>
      </c>
      <c r="D170" t="s">
        <v>11</v>
      </c>
      <c r="E170" t="s">
        <v>20</v>
      </c>
      <c r="F170" t="s">
        <v>13</v>
      </c>
      <c r="G170">
        <v>97</v>
      </c>
      <c r="H170">
        <v>161699</v>
      </c>
      <c r="I170">
        <v>130971</v>
      </c>
      <c r="J170">
        <v>424</v>
      </c>
      <c r="K170">
        <f>Table1[[#This Row],[Revenue]]-Table1[[#This Row],[Cost]]</f>
        <v>30728</v>
      </c>
      <c r="L170" s="1">
        <f>Table1[[#This Row],[profit]]/Table1[[#This Row],[Revenue]]</f>
        <v>0.19003209667344881</v>
      </c>
    </row>
    <row r="171" spans="1:12" x14ac:dyDescent="0.35">
      <c r="A171" t="s">
        <v>39</v>
      </c>
      <c r="B171" t="str">
        <f t="shared" si="2"/>
        <v>January</v>
      </c>
      <c r="C171" t="s">
        <v>42</v>
      </c>
      <c r="D171" t="s">
        <v>11</v>
      </c>
      <c r="E171" t="s">
        <v>12</v>
      </c>
      <c r="F171" t="s">
        <v>17</v>
      </c>
      <c r="G171">
        <v>150</v>
      </c>
      <c r="H171">
        <v>364800</v>
      </c>
      <c r="I171">
        <v>282712</v>
      </c>
      <c r="J171">
        <v>443</v>
      </c>
      <c r="K171">
        <f>Table1[[#This Row],[Revenue]]-Table1[[#This Row],[Cost]]</f>
        <v>82088</v>
      </c>
      <c r="L171" s="1">
        <f>Table1[[#This Row],[profit]]/Table1[[#This Row],[Revenue]]</f>
        <v>0.2250219298245614</v>
      </c>
    </row>
    <row r="172" spans="1:12" x14ac:dyDescent="0.35">
      <c r="A172" t="s">
        <v>72</v>
      </c>
      <c r="B172" t="str">
        <f t="shared" si="2"/>
        <v>January</v>
      </c>
      <c r="C172" t="s">
        <v>10</v>
      </c>
      <c r="D172" t="s">
        <v>11</v>
      </c>
      <c r="E172" t="s">
        <v>16</v>
      </c>
      <c r="F172" t="s">
        <v>13</v>
      </c>
      <c r="G172">
        <v>91</v>
      </c>
      <c r="H172">
        <v>226499</v>
      </c>
      <c r="I172">
        <v>162012</v>
      </c>
      <c r="J172">
        <v>824</v>
      </c>
      <c r="K172">
        <f>Table1[[#This Row],[Revenue]]-Table1[[#This Row],[Cost]]</f>
        <v>64487</v>
      </c>
      <c r="L172" s="1">
        <f>Table1[[#This Row],[profit]]/Table1[[#This Row],[Revenue]]</f>
        <v>0.28471207378399022</v>
      </c>
    </row>
    <row r="173" spans="1:12" x14ac:dyDescent="0.35">
      <c r="A173" t="s">
        <v>44</v>
      </c>
      <c r="B173" t="str">
        <f t="shared" si="2"/>
        <v>January</v>
      </c>
      <c r="C173" t="s">
        <v>15</v>
      </c>
      <c r="D173" t="s">
        <v>11</v>
      </c>
      <c r="E173" t="s">
        <v>29</v>
      </c>
      <c r="F173" t="s">
        <v>30</v>
      </c>
      <c r="G173">
        <v>139</v>
      </c>
      <c r="H173">
        <v>341245</v>
      </c>
      <c r="I173">
        <v>233598</v>
      </c>
      <c r="J173">
        <v>348</v>
      </c>
      <c r="K173">
        <f>Table1[[#This Row],[Revenue]]-Table1[[#This Row],[Cost]]</f>
        <v>107647</v>
      </c>
      <c r="L173" s="1">
        <f>Table1[[#This Row],[profit]]/Table1[[#This Row],[Revenue]]</f>
        <v>0.31545370628141073</v>
      </c>
    </row>
    <row r="174" spans="1:12" x14ac:dyDescent="0.35">
      <c r="A174" t="s">
        <v>34</v>
      </c>
      <c r="B174" t="str">
        <f t="shared" si="2"/>
        <v>February</v>
      </c>
      <c r="C174" t="s">
        <v>22</v>
      </c>
      <c r="D174" t="s">
        <v>11</v>
      </c>
      <c r="E174" t="s">
        <v>12</v>
      </c>
      <c r="F174" t="s">
        <v>30</v>
      </c>
      <c r="G174">
        <v>187</v>
      </c>
      <c r="H174">
        <v>449548</v>
      </c>
      <c r="I174">
        <v>287639</v>
      </c>
      <c r="J174">
        <v>858</v>
      </c>
      <c r="K174">
        <f>Table1[[#This Row],[Revenue]]-Table1[[#This Row],[Cost]]</f>
        <v>161909</v>
      </c>
      <c r="L174" s="1">
        <f>Table1[[#This Row],[profit]]/Table1[[#This Row],[Revenue]]</f>
        <v>0.3601595380248605</v>
      </c>
    </row>
    <row r="175" spans="1:12" x14ac:dyDescent="0.35">
      <c r="A175" t="s">
        <v>69</v>
      </c>
      <c r="B175" t="str">
        <f t="shared" si="2"/>
        <v>January</v>
      </c>
      <c r="C175" t="s">
        <v>24</v>
      </c>
      <c r="D175" t="s">
        <v>11</v>
      </c>
      <c r="E175" t="s">
        <v>16</v>
      </c>
      <c r="F175" t="s">
        <v>30</v>
      </c>
      <c r="G175">
        <v>157</v>
      </c>
      <c r="H175">
        <v>311017</v>
      </c>
      <c r="I175">
        <v>195692</v>
      </c>
      <c r="J175">
        <v>919</v>
      </c>
      <c r="K175">
        <f>Table1[[#This Row],[Revenue]]-Table1[[#This Row],[Cost]]</f>
        <v>115325</v>
      </c>
      <c r="L175" s="1">
        <f>Table1[[#This Row],[profit]]/Table1[[#This Row],[Revenue]]</f>
        <v>0.37079966689923705</v>
      </c>
    </row>
    <row r="176" spans="1:12" x14ac:dyDescent="0.35">
      <c r="A176" t="s">
        <v>47</v>
      </c>
      <c r="B176" t="str">
        <f t="shared" si="2"/>
        <v>February</v>
      </c>
      <c r="C176" t="s">
        <v>22</v>
      </c>
      <c r="D176" t="s">
        <v>11</v>
      </c>
      <c r="E176" t="s">
        <v>16</v>
      </c>
      <c r="F176" t="s">
        <v>30</v>
      </c>
      <c r="G176">
        <v>115</v>
      </c>
      <c r="H176">
        <v>243455</v>
      </c>
      <c r="I176">
        <v>162143</v>
      </c>
      <c r="J176">
        <v>369</v>
      </c>
      <c r="K176">
        <f>Table1[[#This Row],[Revenue]]-Table1[[#This Row],[Cost]]</f>
        <v>81312</v>
      </c>
      <c r="L176" s="1">
        <f>Table1[[#This Row],[profit]]/Table1[[#This Row],[Revenue]]</f>
        <v>0.33399190815551127</v>
      </c>
    </row>
    <row r="177" spans="1:12" x14ac:dyDescent="0.35">
      <c r="A177" t="s">
        <v>51</v>
      </c>
      <c r="B177" t="str">
        <f t="shared" si="2"/>
        <v>January</v>
      </c>
      <c r="C177" t="s">
        <v>24</v>
      </c>
      <c r="D177" t="s">
        <v>11</v>
      </c>
      <c r="E177" t="s">
        <v>12</v>
      </c>
      <c r="F177" t="s">
        <v>17</v>
      </c>
      <c r="G177">
        <v>184</v>
      </c>
      <c r="H177">
        <v>296976</v>
      </c>
      <c r="I177">
        <v>232759</v>
      </c>
      <c r="J177">
        <v>667</v>
      </c>
      <c r="K177">
        <f>Table1[[#This Row],[Revenue]]-Table1[[#This Row],[Cost]]</f>
        <v>64217</v>
      </c>
      <c r="L177" s="1">
        <f>Table1[[#This Row],[profit]]/Table1[[#This Row],[Revenue]]</f>
        <v>0.2162363288615915</v>
      </c>
    </row>
    <row r="178" spans="1:12" x14ac:dyDescent="0.35">
      <c r="A178" t="s">
        <v>18</v>
      </c>
      <c r="B178" t="str">
        <f t="shared" si="2"/>
        <v>February</v>
      </c>
      <c r="C178" t="s">
        <v>24</v>
      </c>
      <c r="D178" t="s">
        <v>11</v>
      </c>
      <c r="E178" t="s">
        <v>16</v>
      </c>
      <c r="F178" t="s">
        <v>17</v>
      </c>
      <c r="G178">
        <v>50</v>
      </c>
      <c r="H178">
        <v>124500</v>
      </c>
      <c r="I178">
        <v>103941</v>
      </c>
      <c r="J178">
        <v>931</v>
      </c>
      <c r="K178">
        <f>Table1[[#This Row],[Revenue]]-Table1[[#This Row],[Cost]]</f>
        <v>20559</v>
      </c>
      <c r="L178" s="1">
        <f>Table1[[#This Row],[profit]]/Table1[[#This Row],[Revenue]]</f>
        <v>0.16513253012048193</v>
      </c>
    </row>
    <row r="179" spans="1:12" x14ac:dyDescent="0.35">
      <c r="A179" t="s">
        <v>72</v>
      </c>
      <c r="B179" t="str">
        <f t="shared" si="2"/>
        <v>January</v>
      </c>
      <c r="C179" t="s">
        <v>10</v>
      </c>
      <c r="D179" t="s">
        <v>11</v>
      </c>
      <c r="E179" t="s">
        <v>16</v>
      </c>
      <c r="F179" t="s">
        <v>17</v>
      </c>
      <c r="G179">
        <v>81</v>
      </c>
      <c r="H179">
        <v>194238</v>
      </c>
      <c r="I179">
        <v>127306</v>
      </c>
      <c r="J179">
        <v>783</v>
      </c>
      <c r="K179">
        <f>Table1[[#This Row],[Revenue]]-Table1[[#This Row],[Cost]]</f>
        <v>66932</v>
      </c>
      <c r="L179" s="1">
        <f>Table1[[#This Row],[profit]]/Table1[[#This Row],[Revenue]]</f>
        <v>0.34458756782915806</v>
      </c>
    </row>
    <row r="180" spans="1:12" x14ac:dyDescent="0.35">
      <c r="A180" t="s">
        <v>78</v>
      </c>
      <c r="B180" t="str">
        <f t="shared" si="2"/>
        <v>January</v>
      </c>
      <c r="C180" t="s">
        <v>24</v>
      </c>
      <c r="D180" t="s">
        <v>11</v>
      </c>
      <c r="E180" t="s">
        <v>20</v>
      </c>
      <c r="F180" t="s">
        <v>17</v>
      </c>
      <c r="G180">
        <v>146</v>
      </c>
      <c r="H180">
        <v>231410</v>
      </c>
      <c r="I180">
        <v>170188</v>
      </c>
      <c r="J180">
        <v>976</v>
      </c>
      <c r="K180">
        <f>Table1[[#This Row],[Revenue]]-Table1[[#This Row],[Cost]]</f>
        <v>61222</v>
      </c>
      <c r="L180" s="1">
        <f>Table1[[#This Row],[profit]]/Table1[[#This Row],[Revenue]]</f>
        <v>0.26456073635538652</v>
      </c>
    </row>
    <row r="181" spans="1:12" x14ac:dyDescent="0.35">
      <c r="A181" t="s">
        <v>58</v>
      </c>
      <c r="B181" t="str">
        <f t="shared" si="2"/>
        <v>January</v>
      </c>
      <c r="C181" t="s">
        <v>10</v>
      </c>
      <c r="D181" t="s">
        <v>11</v>
      </c>
      <c r="E181" t="s">
        <v>20</v>
      </c>
      <c r="F181" t="s">
        <v>13</v>
      </c>
      <c r="G181">
        <v>67</v>
      </c>
      <c r="H181">
        <v>142710</v>
      </c>
      <c r="I181">
        <v>93756</v>
      </c>
      <c r="J181">
        <v>943</v>
      </c>
      <c r="K181">
        <f>Table1[[#This Row],[Revenue]]-Table1[[#This Row],[Cost]]</f>
        <v>48954</v>
      </c>
      <c r="L181" s="1">
        <f>Table1[[#This Row],[profit]]/Table1[[#This Row],[Revenue]]</f>
        <v>0.34303132226192978</v>
      </c>
    </row>
    <row r="182" spans="1:12" x14ac:dyDescent="0.35">
      <c r="A182" t="s">
        <v>55</v>
      </c>
      <c r="B182" t="str">
        <f t="shared" si="2"/>
        <v>February</v>
      </c>
      <c r="C182" t="s">
        <v>24</v>
      </c>
      <c r="D182" t="s">
        <v>11</v>
      </c>
      <c r="E182" t="s">
        <v>29</v>
      </c>
      <c r="F182" t="s">
        <v>17</v>
      </c>
      <c r="G182">
        <v>111</v>
      </c>
      <c r="H182">
        <v>187035</v>
      </c>
      <c r="I182">
        <v>151588</v>
      </c>
      <c r="J182">
        <v>608</v>
      </c>
      <c r="K182">
        <f>Table1[[#This Row],[Revenue]]-Table1[[#This Row],[Cost]]</f>
        <v>35447</v>
      </c>
      <c r="L182" s="1">
        <f>Table1[[#This Row],[profit]]/Table1[[#This Row],[Revenue]]</f>
        <v>0.18952067794797764</v>
      </c>
    </row>
    <row r="183" spans="1:12" x14ac:dyDescent="0.35">
      <c r="A183" t="s">
        <v>28</v>
      </c>
      <c r="B183" t="str">
        <f t="shared" si="2"/>
        <v>February</v>
      </c>
      <c r="C183" t="s">
        <v>19</v>
      </c>
      <c r="D183" t="s">
        <v>11</v>
      </c>
      <c r="E183" t="s">
        <v>16</v>
      </c>
      <c r="F183" t="s">
        <v>17</v>
      </c>
      <c r="G183">
        <v>81</v>
      </c>
      <c r="H183">
        <v>161757</v>
      </c>
      <c r="I183">
        <v>114628</v>
      </c>
      <c r="J183">
        <v>252</v>
      </c>
      <c r="K183">
        <f>Table1[[#This Row],[Revenue]]-Table1[[#This Row],[Cost]]</f>
        <v>47129</v>
      </c>
      <c r="L183" s="1">
        <f>Table1[[#This Row],[profit]]/Table1[[#This Row],[Revenue]]</f>
        <v>0.291356788268823</v>
      </c>
    </row>
    <row r="184" spans="1:12" x14ac:dyDescent="0.35">
      <c r="A184" t="s">
        <v>79</v>
      </c>
      <c r="B184" t="str">
        <f t="shared" si="2"/>
        <v>January</v>
      </c>
      <c r="C184" t="s">
        <v>15</v>
      </c>
      <c r="D184" t="s">
        <v>11</v>
      </c>
      <c r="E184" t="s">
        <v>16</v>
      </c>
      <c r="F184" t="s">
        <v>30</v>
      </c>
      <c r="G184">
        <v>146</v>
      </c>
      <c r="H184">
        <v>312878</v>
      </c>
      <c r="I184">
        <v>194792</v>
      </c>
      <c r="J184">
        <v>615</v>
      </c>
      <c r="K184">
        <f>Table1[[#This Row],[Revenue]]-Table1[[#This Row],[Cost]]</f>
        <v>118086</v>
      </c>
      <c r="L184" s="1">
        <f>Table1[[#This Row],[profit]]/Table1[[#This Row],[Revenue]]</f>
        <v>0.37741867437148025</v>
      </c>
    </row>
    <row r="185" spans="1:12" x14ac:dyDescent="0.35">
      <c r="A185" t="s">
        <v>79</v>
      </c>
      <c r="B185" t="str">
        <f t="shared" si="2"/>
        <v>January</v>
      </c>
      <c r="C185" t="s">
        <v>22</v>
      </c>
      <c r="D185" t="s">
        <v>11</v>
      </c>
      <c r="E185" t="s">
        <v>16</v>
      </c>
      <c r="F185" t="s">
        <v>13</v>
      </c>
      <c r="G185">
        <v>55</v>
      </c>
      <c r="H185">
        <v>127435</v>
      </c>
      <c r="I185">
        <v>104185</v>
      </c>
      <c r="J185">
        <v>723</v>
      </c>
      <c r="K185">
        <f>Table1[[#This Row],[Revenue]]-Table1[[#This Row],[Cost]]</f>
        <v>23250</v>
      </c>
      <c r="L185" s="1">
        <f>Table1[[#This Row],[profit]]/Table1[[#This Row],[Revenue]]</f>
        <v>0.18244595283870207</v>
      </c>
    </row>
    <row r="186" spans="1:12" x14ac:dyDescent="0.35">
      <c r="A186" t="s">
        <v>26</v>
      </c>
      <c r="B186" t="str">
        <f t="shared" si="2"/>
        <v>February</v>
      </c>
      <c r="C186" t="s">
        <v>10</v>
      </c>
      <c r="D186" t="s">
        <v>11</v>
      </c>
      <c r="E186" t="s">
        <v>20</v>
      </c>
      <c r="F186" t="s">
        <v>17</v>
      </c>
      <c r="G186">
        <v>182</v>
      </c>
      <c r="H186">
        <v>355628</v>
      </c>
      <c r="I186">
        <v>248859</v>
      </c>
      <c r="J186">
        <v>975</v>
      </c>
      <c r="K186">
        <f>Table1[[#This Row],[Revenue]]-Table1[[#This Row],[Cost]]</f>
        <v>106769</v>
      </c>
      <c r="L186" s="1">
        <f>Table1[[#This Row],[profit]]/Table1[[#This Row],[Revenue]]</f>
        <v>0.30022664132183069</v>
      </c>
    </row>
    <row r="187" spans="1:12" x14ac:dyDescent="0.35">
      <c r="A187" t="s">
        <v>14</v>
      </c>
      <c r="B187" t="str">
        <f t="shared" si="2"/>
        <v>February</v>
      </c>
      <c r="C187" t="s">
        <v>15</v>
      </c>
      <c r="D187" t="s">
        <v>11</v>
      </c>
      <c r="E187" t="s">
        <v>29</v>
      </c>
      <c r="F187" t="s">
        <v>17</v>
      </c>
      <c r="G187">
        <v>116</v>
      </c>
      <c r="H187">
        <v>226780</v>
      </c>
      <c r="I187">
        <v>151451</v>
      </c>
      <c r="J187">
        <v>743</v>
      </c>
      <c r="K187">
        <f>Table1[[#This Row],[Revenue]]-Table1[[#This Row],[Cost]]</f>
        <v>75329</v>
      </c>
      <c r="L187" s="1">
        <f>Table1[[#This Row],[profit]]/Table1[[#This Row],[Revenue]]</f>
        <v>0.33216773965958196</v>
      </c>
    </row>
    <row r="188" spans="1:12" x14ac:dyDescent="0.35">
      <c r="A188" t="s">
        <v>64</v>
      </c>
      <c r="B188" t="str">
        <f t="shared" si="2"/>
        <v>February</v>
      </c>
      <c r="C188" t="s">
        <v>22</v>
      </c>
      <c r="D188" t="s">
        <v>11</v>
      </c>
      <c r="E188" t="s">
        <v>20</v>
      </c>
      <c r="F188" t="s">
        <v>30</v>
      </c>
      <c r="G188">
        <v>132</v>
      </c>
      <c r="H188">
        <v>237996</v>
      </c>
      <c r="I188">
        <v>200363</v>
      </c>
      <c r="J188">
        <v>264</v>
      </c>
      <c r="K188">
        <f>Table1[[#This Row],[Revenue]]-Table1[[#This Row],[Cost]]</f>
        <v>37633</v>
      </c>
      <c r="L188" s="1">
        <f>Table1[[#This Row],[profit]]/Table1[[#This Row],[Revenue]]</f>
        <v>0.15812450629422342</v>
      </c>
    </row>
    <row r="189" spans="1:12" x14ac:dyDescent="0.35">
      <c r="A189" t="s">
        <v>80</v>
      </c>
      <c r="B189" t="str">
        <f t="shared" si="2"/>
        <v>January</v>
      </c>
      <c r="C189" t="s">
        <v>15</v>
      </c>
      <c r="D189" t="s">
        <v>11</v>
      </c>
      <c r="E189" t="s">
        <v>12</v>
      </c>
      <c r="F189" t="s">
        <v>13</v>
      </c>
      <c r="G189">
        <v>133</v>
      </c>
      <c r="H189">
        <v>253099</v>
      </c>
      <c r="I189">
        <v>196819</v>
      </c>
      <c r="J189">
        <v>402</v>
      </c>
      <c r="K189">
        <f>Table1[[#This Row],[Revenue]]-Table1[[#This Row],[Cost]]</f>
        <v>56280</v>
      </c>
      <c r="L189" s="1">
        <f>Table1[[#This Row],[profit]]/Table1[[#This Row],[Revenue]]</f>
        <v>0.22236358104931273</v>
      </c>
    </row>
    <row r="190" spans="1:12" x14ac:dyDescent="0.35">
      <c r="A190" t="s">
        <v>57</v>
      </c>
      <c r="B190" t="str">
        <f t="shared" si="2"/>
        <v>February</v>
      </c>
      <c r="C190" t="s">
        <v>24</v>
      </c>
      <c r="D190" t="s">
        <v>11</v>
      </c>
      <c r="E190" t="s">
        <v>20</v>
      </c>
      <c r="F190" t="s">
        <v>13</v>
      </c>
      <c r="G190">
        <v>65</v>
      </c>
      <c r="H190">
        <v>132795</v>
      </c>
      <c r="I190">
        <v>110989</v>
      </c>
      <c r="J190">
        <v>497</v>
      </c>
      <c r="K190">
        <f>Table1[[#This Row],[Revenue]]-Table1[[#This Row],[Cost]]</f>
        <v>21806</v>
      </c>
      <c r="L190" s="1">
        <f>Table1[[#This Row],[profit]]/Table1[[#This Row],[Revenue]]</f>
        <v>0.16420798975865056</v>
      </c>
    </row>
    <row r="191" spans="1:12" x14ac:dyDescent="0.35">
      <c r="A191" t="s">
        <v>81</v>
      </c>
      <c r="B191" t="str">
        <f t="shared" si="2"/>
        <v>February</v>
      </c>
      <c r="C191" t="s">
        <v>24</v>
      </c>
      <c r="D191" t="s">
        <v>11</v>
      </c>
      <c r="E191" t="s">
        <v>20</v>
      </c>
      <c r="F191" t="s">
        <v>17</v>
      </c>
      <c r="G191">
        <v>181</v>
      </c>
      <c r="H191">
        <v>432952</v>
      </c>
      <c r="I191">
        <v>304125</v>
      </c>
      <c r="J191">
        <v>443</v>
      </c>
      <c r="K191">
        <f>Table1[[#This Row],[Revenue]]-Table1[[#This Row],[Cost]]</f>
        <v>128827</v>
      </c>
      <c r="L191" s="1">
        <f>Table1[[#This Row],[profit]]/Table1[[#This Row],[Revenue]]</f>
        <v>0.29755492525730337</v>
      </c>
    </row>
    <row r="192" spans="1:12" x14ac:dyDescent="0.35">
      <c r="A192" t="s">
        <v>33</v>
      </c>
      <c r="B192" t="str">
        <f t="shared" si="2"/>
        <v>January</v>
      </c>
      <c r="C192" t="s">
        <v>22</v>
      </c>
      <c r="D192" t="s">
        <v>11</v>
      </c>
      <c r="E192" t="s">
        <v>16</v>
      </c>
      <c r="F192" t="s">
        <v>17</v>
      </c>
      <c r="G192">
        <v>119</v>
      </c>
      <c r="H192">
        <v>208726</v>
      </c>
      <c r="I192">
        <v>151224</v>
      </c>
      <c r="J192">
        <v>924</v>
      </c>
      <c r="K192">
        <f>Table1[[#This Row],[Revenue]]-Table1[[#This Row],[Cost]]</f>
        <v>57502</v>
      </c>
      <c r="L192" s="1">
        <f>Table1[[#This Row],[profit]]/Table1[[#This Row],[Revenue]]</f>
        <v>0.2754903557774307</v>
      </c>
    </row>
    <row r="193" spans="1:12" x14ac:dyDescent="0.35">
      <c r="A193" t="s">
        <v>53</v>
      </c>
      <c r="B193" t="str">
        <f t="shared" si="2"/>
        <v>January</v>
      </c>
      <c r="C193" t="s">
        <v>10</v>
      </c>
      <c r="D193" t="s">
        <v>11</v>
      </c>
      <c r="E193" t="s">
        <v>12</v>
      </c>
      <c r="F193" t="s">
        <v>30</v>
      </c>
      <c r="G193">
        <v>91</v>
      </c>
      <c r="H193">
        <v>225589</v>
      </c>
      <c r="I193">
        <v>154980</v>
      </c>
      <c r="J193">
        <v>237</v>
      </c>
      <c r="K193">
        <f>Table1[[#This Row],[Revenue]]-Table1[[#This Row],[Cost]]</f>
        <v>70609</v>
      </c>
      <c r="L193" s="1">
        <f>Table1[[#This Row],[profit]]/Table1[[#This Row],[Revenue]]</f>
        <v>0.31299841747602941</v>
      </c>
    </row>
    <row r="194" spans="1:12" x14ac:dyDescent="0.35">
      <c r="A194" t="s">
        <v>52</v>
      </c>
      <c r="B194" t="str">
        <f t="shared" si="2"/>
        <v>February</v>
      </c>
      <c r="C194" t="s">
        <v>42</v>
      </c>
      <c r="D194" t="s">
        <v>11</v>
      </c>
      <c r="E194" t="s">
        <v>29</v>
      </c>
      <c r="F194" t="s">
        <v>13</v>
      </c>
      <c r="G194">
        <v>89</v>
      </c>
      <c r="H194">
        <v>139552</v>
      </c>
      <c r="I194">
        <v>89323</v>
      </c>
      <c r="J194">
        <v>906</v>
      </c>
      <c r="K194">
        <f>Table1[[#This Row],[Revenue]]-Table1[[#This Row],[Cost]]</f>
        <v>50229</v>
      </c>
      <c r="L194" s="1">
        <f>Table1[[#This Row],[profit]]/Table1[[#This Row],[Revenue]]</f>
        <v>0.35993034854391193</v>
      </c>
    </row>
    <row r="195" spans="1:12" x14ac:dyDescent="0.35">
      <c r="A195" t="s">
        <v>65</v>
      </c>
      <c r="B195" t="str">
        <f t="shared" ref="B195:B258" si="3">TEXT(A195,"mmmm")</f>
        <v>January</v>
      </c>
      <c r="C195" t="s">
        <v>24</v>
      </c>
      <c r="D195" t="s">
        <v>11</v>
      </c>
      <c r="E195" t="s">
        <v>12</v>
      </c>
      <c r="F195" t="s">
        <v>30</v>
      </c>
      <c r="G195">
        <v>153</v>
      </c>
      <c r="H195">
        <v>364446</v>
      </c>
      <c r="I195">
        <v>295655</v>
      </c>
      <c r="J195">
        <v>836</v>
      </c>
      <c r="K195">
        <f>Table1[[#This Row],[Revenue]]-Table1[[#This Row],[Cost]]</f>
        <v>68791</v>
      </c>
      <c r="L195" s="1">
        <f>Table1[[#This Row],[profit]]/Table1[[#This Row],[Revenue]]</f>
        <v>0.18875498702139687</v>
      </c>
    </row>
    <row r="196" spans="1:12" x14ac:dyDescent="0.35">
      <c r="A196" t="s">
        <v>82</v>
      </c>
      <c r="B196" t="str">
        <f t="shared" si="3"/>
        <v>January</v>
      </c>
      <c r="C196" t="s">
        <v>24</v>
      </c>
      <c r="D196" t="s">
        <v>11</v>
      </c>
      <c r="E196" t="s">
        <v>29</v>
      </c>
      <c r="F196" t="s">
        <v>17</v>
      </c>
      <c r="G196">
        <v>146</v>
      </c>
      <c r="H196">
        <v>305286</v>
      </c>
      <c r="I196">
        <v>230150</v>
      </c>
      <c r="J196">
        <v>991</v>
      </c>
      <c r="K196">
        <f>Table1[[#This Row],[Revenue]]-Table1[[#This Row],[Cost]]</f>
        <v>75136</v>
      </c>
      <c r="L196" s="1">
        <f>Table1[[#This Row],[profit]]/Table1[[#This Row],[Revenue]]</f>
        <v>0.24611675609100975</v>
      </c>
    </row>
    <row r="197" spans="1:12" x14ac:dyDescent="0.35">
      <c r="A197" t="s">
        <v>33</v>
      </c>
      <c r="B197" t="str">
        <f t="shared" si="3"/>
        <v>January</v>
      </c>
      <c r="C197" t="s">
        <v>10</v>
      </c>
      <c r="D197" t="s">
        <v>11</v>
      </c>
      <c r="E197" t="s">
        <v>16</v>
      </c>
      <c r="F197" t="s">
        <v>30</v>
      </c>
      <c r="G197">
        <v>110</v>
      </c>
      <c r="H197">
        <v>195580</v>
      </c>
      <c r="I197">
        <v>122067</v>
      </c>
      <c r="J197">
        <v>434</v>
      </c>
      <c r="K197">
        <f>Table1[[#This Row],[Revenue]]-Table1[[#This Row],[Cost]]</f>
        <v>73513</v>
      </c>
      <c r="L197" s="1">
        <f>Table1[[#This Row],[profit]]/Table1[[#This Row],[Revenue]]</f>
        <v>0.37587176602924632</v>
      </c>
    </row>
    <row r="198" spans="1:12" x14ac:dyDescent="0.35">
      <c r="A198" t="s">
        <v>54</v>
      </c>
      <c r="B198" t="str">
        <f t="shared" si="3"/>
        <v>February</v>
      </c>
      <c r="C198" t="s">
        <v>24</v>
      </c>
      <c r="D198" t="s">
        <v>11</v>
      </c>
      <c r="E198" t="s">
        <v>29</v>
      </c>
      <c r="F198" t="s">
        <v>30</v>
      </c>
      <c r="G198">
        <v>88</v>
      </c>
      <c r="H198">
        <v>159368</v>
      </c>
      <c r="I198">
        <v>113303</v>
      </c>
      <c r="J198">
        <v>287</v>
      </c>
      <c r="K198">
        <f>Table1[[#This Row],[Revenue]]-Table1[[#This Row],[Cost]]</f>
        <v>46065</v>
      </c>
      <c r="L198" s="1">
        <f>Table1[[#This Row],[profit]]/Table1[[#This Row],[Revenue]]</f>
        <v>0.2890479895587571</v>
      </c>
    </row>
    <row r="199" spans="1:12" x14ac:dyDescent="0.35">
      <c r="A199" t="s">
        <v>72</v>
      </c>
      <c r="B199" t="str">
        <f t="shared" si="3"/>
        <v>January</v>
      </c>
      <c r="C199" t="s">
        <v>19</v>
      </c>
      <c r="D199" t="s">
        <v>11</v>
      </c>
      <c r="E199" t="s">
        <v>12</v>
      </c>
      <c r="F199" t="s">
        <v>13</v>
      </c>
      <c r="G199">
        <v>78</v>
      </c>
      <c r="H199">
        <v>128232</v>
      </c>
      <c r="I199">
        <v>89238</v>
      </c>
      <c r="J199">
        <v>589</v>
      </c>
      <c r="K199">
        <f>Table1[[#This Row],[Revenue]]-Table1[[#This Row],[Cost]]</f>
        <v>38994</v>
      </c>
      <c r="L199" s="1">
        <f>Table1[[#This Row],[profit]]/Table1[[#This Row],[Revenue]]</f>
        <v>0.30408946284858696</v>
      </c>
    </row>
    <row r="200" spans="1:12" x14ac:dyDescent="0.35">
      <c r="A200" t="s">
        <v>82</v>
      </c>
      <c r="B200" t="str">
        <f t="shared" si="3"/>
        <v>January</v>
      </c>
      <c r="C200" t="s">
        <v>15</v>
      </c>
      <c r="D200" t="s">
        <v>11</v>
      </c>
      <c r="E200" t="s">
        <v>16</v>
      </c>
      <c r="F200" t="s">
        <v>17</v>
      </c>
      <c r="G200">
        <v>136</v>
      </c>
      <c r="H200">
        <v>280160</v>
      </c>
      <c r="I200">
        <v>226126</v>
      </c>
      <c r="J200">
        <v>287</v>
      </c>
      <c r="K200">
        <f>Table1[[#This Row],[Revenue]]-Table1[[#This Row],[Cost]]</f>
        <v>54034</v>
      </c>
      <c r="L200" s="1">
        <f>Table1[[#This Row],[profit]]/Table1[[#This Row],[Revenue]]</f>
        <v>0.19286836093660764</v>
      </c>
    </row>
    <row r="201" spans="1:12" x14ac:dyDescent="0.35">
      <c r="A201" t="s">
        <v>45</v>
      </c>
      <c r="B201" t="str">
        <f t="shared" si="3"/>
        <v>January</v>
      </c>
      <c r="C201" t="s">
        <v>42</v>
      </c>
      <c r="D201" t="s">
        <v>11</v>
      </c>
      <c r="E201" t="s">
        <v>16</v>
      </c>
      <c r="F201" t="s">
        <v>13</v>
      </c>
      <c r="G201">
        <v>157</v>
      </c>
      <c r="H201">
        <v>328130</v>
      </c>
      <c r="I201">
        <v>258084</v>
      </c>
      <c r="J201">
        <v>843</v>
      </c>
      <c r="K201">
        <f>Table1[[#This Row],[Revenue]]-Table1[[#This Row],[Cost]]</f>
        <v>70046</v>
      </c>
      <c r="L201" s="1">
        <f>Table1[[#This Row],[profit]]/Table1[[#This Row],[Revenue]]</f>
        <v>0.2134702709292049</v>
      </c>
    </row>
    <row r="202" spans="1:12" x14ac:dyDescent="0.35">
      <c r="A202" t="s">
        <v>52</v>
      </c>
      <c r="B202" t="str">
        <f t="shared" si="3"/>
        <v>February</v>
      </c>
      <c r="C202" t="s">
        <v>19</v>
      </c>
      <c r="D202" t="s">
        <v>11</v>
      </c>
      <c r="E202" t="s">
        <v>29</v>
      </c>
      <c r="F202" t="s">
        <v>30</v>
      </c>
      <c r="G202">
        <v>130</v>
      </c>
      <c r="H202">
        <v>250770</v>
      </c>
      <c r="I202">
        <v>156358</v>
      </c>
      <c r="J202">
        <v>606</v>
      </c>
      <c r="K202">
        <f>Table1[[#This Row],[Revenue]]-Table1[[#This Row],[Cost]]</f>
        <v>94412</v>
      </c>
      <c r="L202" s="1">
        <f>Table1[[#This Row],[profit]]/Table1[[#This Row],[Revenue]]</f>
        <v>0.37648841567970648</v>
      </c>
    </row>
    <row r="203" spans="1:12" x14ac:dyDescent="0.35">
      <c r="A203" t="s">
        <v>75</v>
      </c>
      <c r="B203" t="str">
        <f t="shared" si="3"/>
        <v>February</v>
      </c>
      <c r="C203" t="s">
        <v>10</v>
      </c>
      <c r="D203" t="s">
        <v>11</v>
      </c>
      <c r="E203" t="s">
        <v>12</v>
      </c>
      <c r="F203" t="s">
        <v>17</v>
      </c>
      <c r="G203">
        <v>169</v>
      </c>
      <c r="H203">
        <v>387517</v>
      </c>
      <c r="I203">
        <v>234375</v>
      </c>
      <c r="J203">
        <v>291</v>
      </c>
      <c r="K203">
        <f>Table1[[#This Row],[Revenue]]-Table1[[#This Row],[Cost]]</f>
        <v>153142</v>
      </c>
      <c r="L203" s="1">
        <f>Table1[[#This Row],[profit]]/Table1[[#This Row],[Revenue]]</f>
        <v>0.39518782401804309</v>
      </c>
    </row>
    <row r="204" spans="1:12" x14ac:dyDescent="0.35">
      <c r="A204" t="s">
        <v>61</v>
      </c>
      <c r="B204" t="str">
        <f t="shared" si="3"/>
        <v>January</v>
      </c>
      <c r="C204" t="s">
        <v>22</v>
      </c>
      <c r="D204" t="s">
        <v>11</v>
      </c>
      <c r="E204" t="s">
        <v>12</v>
      </c>
      <c r="F204" t="s">
        <v>17</v>
      </c>
      <c r="G204">
        <v>160</v>
      </c>
      <c r="H204">
        <v>340480</v>
      </c>
      <c r="I204">
        <v>208449</v>
      </c>
      <c r="J204">
        <v>333</v>
      </c>
      <c r="K204">
        <f>Table1[[#This Row],[Revenue]]-Table1[[#This Row],[Cost]]</f>
        <v>132031</v>
      </c>
      <c r="L204" s="1">
        <f>Table1[[#This Row],[profit]]/Table1[[#This Row],[Revenue]]</f>
        <v>0.38777901785714286</v>
      </c>
    </row>
    <row r="205" spans="1:12" x14ac:dyDescent="0.35">
      <c r="A205" t="s">
        <v>51</v>
      </c>
      <c r="B205" t="str">
        <f t="shared" si="3"/>
        <v>January</v>
      </c>
      <c r="C205" t="s">
        <v>10</v>
      </c>
      <c r="D205" t="s">
        <v>11</v>
      </c>
      <c r="E205" t="s">
        <v>16</v>
      </c>
      <c r="F205" t="s">
        <v>30</v>
      </c>
      <c r="G205">
        <v>94</v>
      </c>
      <c r="H205">
        <v>230864</v>
      </c>
      <c r="I205">
        <v>182346</v>
      </c>
      <c r="J205">
        <v>512</v>
      </c>
      <c r="K205">
        <f>Table1[[#This Row],[Revenue]]-Table1[[#This Row],[Cost]]</f>
        <v>48518</v>
      </c>
      <c r="L205" s="1">
        <f>Table1[[#This Row],[profit]]/Table1[[#This Row],[Revenue]]</f>
        <v>0.21015836163282278</v>
      </c>
    </row>
    <row r="206" spans="1:12" x14ac:dyDescent="0.35">
      <c r="A206" t="s">
        <v>25</v>
      </c>
      <c r="B206" t="str">
        <f t="shared" si="3"/>
        <v>February</v>
      </c>
      <c r="C206" t="s">
        <v>19</v>
      </c>
      <c r="D206" t="s">
        <v>11</v>
      </c>
      <c r="E206" t="s">
        <v>16</v>
      </c>
      <c r="F206" t="s">
        <v>13</v>
      </c>
      <c r="G206">
        <v>100</v>
      </c>
      <c r="H206">
        <v>156300</v>
      </c>
      <c r="I206">
        <v>99100</v>
      </c>
      <c r="J206">
        <v>242</v>
      </c>
      <c r="K206">
        <f>Table1[[#This Row],[Revenue]]-Table1[[#This Row],[Cost]]</f>
        <v>57200</v>
      </c>
      <c r="L206" s="1">
        <f>Table1[[#This Row],[profit]]/Table1[[#This Row],[Revenue]]</f>
        <v>0.36596289187460013</v>
      </c>
    </row>
    <row r="207" spans="1:12" x14ac:dyDescent="0.35">
      <c r="A207" t="s">
        <v>75</v>
      </c>
      <c r="B207" t="str">
        <f t="shared" si="3"/>
        <v>February</v>
      </c>
      <c r="C207" t="s">
        <v>22</v>
      </c>
      <c r="D207" t="s">
        <v>11</v>
      </c>
      <c r="E207" t="s">
        <v>29</v>
      </c>
      <c r="F207" t="s">
        <v>30</v>
      </c>
      <c r="G207">
        <v>161</v>
      </c>
      <c r="H207">
        <v>375452</v>
      </c>
      <c r="I207">
        <v>316538</v>
      </c>
      <c r="J207">
        <v>578</v>
      </c>
      <c r="K207">
        <f>Table1[[#This Row],[Revenue]]-Table1[[#This Row],[Cost]]</f>
        <v>58914</v>
      </c>
      <c r="L207" s="1">
        <f>Table1[[#This Row],[profit]]/Table1[[#This Row],[Revenue]]</f>
        <v>0.15691486528237963</v>
      </c>
    </row>
    <row r="208" spans="1:12" x14ac:dyDescent="0.35">
      <c r="A208" t="s">
        <v>40</v>
      </c>
      <c r="B208" t="str">
        <f t="shared" si="3"/>
        <v>January</v>
      </c>
      <c r="C208" t="s">
        <v>19</v>
      </c>
      <c r="D208" t="s">
        <v>11</v>
      </c>
      <c r="E208" t="s">
        <v>29</v>
      </c>
      <c r="F208" t="s">
        <v>30</v>
      </c>
      <c r="G208">
        <v>137</v>
      </c>
      <c r="H208">
        <v>269890</v>
      </c>
      <c r="I208">
        <v>172746</v>
      </c>
      <c r="J208">
        <v>508</v>
      </c>
      <c r="K208">
        <f>Table1[[#This Row],[Revenue]]-Table1[[#This Row],[Cost]]</f>
        <v>97144</v>
      </c>
      <c r="L208" s="1">
        <f>Table1[[#This Row],[profit]]/Table1[[#This Row],[Revenue]]</f>
        <v>0.35993923450294563</v>
      </c>
    </row>
    <row r="209" spans="1:12" x14ac:dyDescent="0.35">
      <c r="A209" t="s">
        <v>48</v>
      </c>
      <c r="B209" t="str">
        <f t="shared" si="3"/>
        <v>January</v>
      </c>
      <c r="C209" t="s">
        <v>24</v>
      </c>
      <c r="D209" t="s">
        <v>11</v>
      </c>
      <c r="E209" t="s">
        <v>20</v>
      </c>
      <c r="F209" t="s">
        <v>30</v>
      </c>
      <c r="G209">
        <v>116</v>
      </c>
      <c r="H209">
        <v>174000</v>
      </c>
      <c r="I209">
        <v>111669</v>
      </c>
      <c r="J209">
        <v>943</v>
      </c>
      <c r="K209">
        <f>Table1[[#This Row],[Revenue]]-Table1[[#This Row],[Cost]]</f>
        <v>62331</v>
      </c>
      <c r="L209" s="1">
        <f>Table1[[#This Row],[profit]]/Table1[[#This Row],[Revenue]]</f>
        <v>0.35822413793103447</v>
      </c>
    </row>
    <row r="210" spans="1:12" x14ac:dyDescent="0.35">
      <c r="A210" t="s">
        <v>51</v>
      </c>
      <c r="B210" t="str">
        <f t="shared" si="3"/>
        <v>January</v>
      </c>
      <c r="C210" t="s">
        <v>19</v>
      </c>
      <c r="D210" t="s">
        <v>11</v>
      </c>
      <c r="E210" t="s">
        <v>16</v>
      </c>
      <c r="F210" t="s">
        <v>30</v>
      </c>
      <c r="G210">
        <v>179</v>
      </c>
      <c r="H210">
        <v>362475</v>
      </c>
      <c r="I210">
        <v>243098</v>
      </c>
      <c r="J210">
        <v>288</v>
      </c>
      <c r="K210">
        <f>Table1[[#This Row],[Revenue]]-Table1[[#This Row],[Cost]]</f>
        <v>119377</v>
      </c>
      <c r="L210" s="1">
        <f>Table1[[#This Row],[profit]]/Table1[[#This Row],[Revenue]]</f>
        <v>0.32933857507414305</v>
      </c>
    </row>
    <row r="211" spans="1:12" x14ac:dyDescent="0.35">
      <c r="A211" t="s">
        <v>67</v>
      </c>
      <c r="B211" t="str">
        <f t="shared" si="3"/>
        <v>February</v>
      </c>
      <c r="C211" t="s">
        <v>19</v>
      </c>
      <c r="D211" t="s">
        <v>11</v>
      </c>
      <c r="E211" t="s">
        <v>29</v>
      </c>
      <c r="F211" t="s">
        <v>30</v>
      </c>
      <c r="G211">
        <v>83</v>
      </c>
      <c r="H211">
        <v>194801</v>
      </c>
      <c r="I211">
        <v>163136</v>
      </c>
      <c r="J211">
        <v>822</v>
      </c>
      <c r="K211">
        <f>Table1[[#This Row],[Revenue]]-Table1[[#This Row],[Cost]]</f>
        <v>31665</v>
      </c>
      <c r="L211" s="1">
        <f>Table1[[#This Row],[profit]]/Table1[[#This Row],[Revenue]]</f>
        <v>0.16255050025410547</v>
      </c>
    </row>
    <row r="212" spans="1:12" x14ac:dyDescent="0.35">
      <c r="A212" t="s">
        <v>28</v>
      </c>
      <c r="B212" t="str">
        <f t="shared" si="3"/>
        <v>February</v>
      </c>
      <c r="C212" t="s">
        <v>10</v>
      </c>
      <c r="D212" t="s">
        <v>11</v>
      </c>
      <c r="E212" t="s">
        <v>16</v>
      </c>
      <c r="F212" t="s">
        <v>17</v>
      </c>
      <c r="G212">
        <v>199</v>
      </c>
      <c r="H212">
        <v>416706</v>
      </c>
      <c r="I212">
        <v>320165</v>
      </c>
      <c r="J212">
        <v>677</v>
      </c>
      <c r="K212">
        <f>Table1[[#This Row],[Revenue]]-Table1[[#This Row],[Cost]]</f>
        <v>96541</v>
      </c>
      <c r="L212" s="1">
        <f>Table1[[#This Row],[profit]]/Table1[[#This Row],[Revenue]]</f>
        <v>0.23167652973559297</v>
      </c>
    </row>
    <row r="213" spans="1:12" x14ac:dyDescent="0.35">
      <c r="A213" t="s">
        <v>71</v>
      </c>
      <c r="B213" t="str">
        <f t="shared" si="3"/>
        <v>February</v>
      </c>
      <c r="C213" t="s">
        <v>22</v>
      </c>
      <c r="D213" t="s">
        <v>11</v>
      </c>
      <c r="E213" t="s">
        <v>29</v>
      </c>
      <c r="F213" t="s">
        <v>13</v>
      </c>
      <c r="G213">
        <v>93</v>
      </c>
      <c r="H213">
        <v>184884</v>
      </c>
      <c r="I213">
        <v>121909</v>
      </c>
      <c r="J213">
        <v>980</v>
      </c>
      <c r="K213">
        <f>Table1[[#This Row],[Revenue]]-Table1[[#This Row],[Cost]]</f>
        <v>62975</v>
      </c>
      <c r="L213" s="1">
        <f>Table1[[#This Row],[profit]]/Table1[[#This Row],[Revenue]]</f>
        <v>0.34061898271348523</v>
      </c>
    </row>
    <row r="214" spans="1:12" x14ac:dyDescent="0.35">
      <c r="A214" t="s">
        <v>45</v>
      </c>
      <c r="B214" t="str">
        <f t="shared" si="3"/>
        <v>January</v>
      </c>
      <c r="C214" t="s">
        <v>22</v>
      </c>
      <c r="D214" t="s">
        <v>11</v>
      </c>
      <c r="E214" t="s">
        <v>16</v>
      </c>
      <c r="F214" t="s">
        <v>17</v>
      </c>
      <c r="G214">
        <v>187</v>
      </c>
      <c r="H214">
        <v>402798</v>
      </c>
      <c r="I214">
        <v>282478</v>
      </c>
      <c r="J214">
        <v>543</v>
      </c>
      <c r="K214">
        <f>Table1[[#This Row],[Revenue]]-Table1[[#This Row],[Cost]]</f>
        <v>120320</v>
      </c>
      <c r="L214" s="1">
        <f>Table1[[#This Row],[profit]]/Table1[[#This Row],[Revenue]]</f>
        <v>0.29871051991320713</v>
      </c>
    </row>
    <row r="215" spans="1:12" x14ac:dyDescent="0.35">
      <c r="A215" t="s">
        <v>45</v>
      </c>
      <c r="B215" t="str">
        <f t="shared" si="3"/>
        <v>January</v>
      </c>
      <c r="C215" t="s">
        <v>15</v>
      </c>
      <c r="D215" t="s">
        <v>11</v>
      </c>
      <c r="E215" t="s">
        <v>20</v>
      </c>
      <c r="F215" t="s">
        <v>13</v>
      </c>
      <c r="G215">
        <v>114</v>
      </c>
      <c r="H215">
        <v>194142</v>
      </c>
      <c r="I215">
        <v>134585</v>
      </c>
      <c r="J215">
        <v>722</v>
      </c>
      <c r="K215">
        <f>Table1[[#This Row],[Revenue]]-Table1[[#This Row],[Cost]]</f>
        <v>59557</v>
      </c>
      <c r="L215" s="1">
        <f>Table1[[#This Row],[profit]]/Table1[[#This Row],[Revenue]]</f>
        <v>0.3067703021499727</v>
      </c>
    </row>
    <row r="216" spans="1:12" x14ac:dyDescent="0.35">
      <c r="A216" t="s">
        <v>73</v>
      </c>
      <c r="B216" t="str">
        <f t="shared" si="3"/>
        <v>February</v>
      </c>
      <c r="C216" t="s">
        <v>42</v>
      </c>
      <c r="D216" t="s">
        <v>11</v>
      </c>
      <c r="E216" t="s">
        <v>12</v>
      </c>
      <c r="F216" t="s">
        <v>13</v>
      </c>
      <c r="G216">
        <v>77</v>
      </c>
      <c r="H216">
        <v>129129</v>
      </c>
      <c r="I216">
        <v>82352</v>
      </c>
      <c r="J216">
        <v>872</v>
      </c>
      <c r="K216">
        <f>Table1[[#This Row],[Revenue]]-Table1[[#This Row],[Cost]]</f>
        <v>46777</v>
      </c>
      <c r="L216" s="1">
        <f>Table1[[#This Row],[profit]]/Table1[[#This Row],[Revenue]]</f>
        <v>0.36225015294782736</v>
      </c>
    </row>
    <row r="217" spans="1:12" x14ac:dyDescent="0.35">
      <c r="A217" t="s">
        <v>75</v>
      </c>
      <c r="B217" t="str">
        <f t="shared" si="3"/>
        <v>February</v>
      </c>
      <c r="C217" t="s">
        <v>10</v>
      </c>
      <c r="D217" t="s">
        <v>11</v>
      </c>
      <c r="E217" t="s">
        <v>12</v>
      </c>
      <c r="F217" t="s">
        <v>30</v>
      </c>
      <c r="G217">
        <v>108</v>
      </c>
      <c r="H217">
        <v>194292</v>
      </c>
      <c r="I217">
        <v>138233</v>
      </c>
      <c r="J217">
        <v>416</v>
      </c>
      <c r="K217">
        <f>Table1[[#This Row],[Revenue]]-Table1[[#This Row],[Cost]]</f>
        <v>56059</v>
      </c>
      <c r="L217" s="1">
        <f>Table1[[#This Row],[profit]]/Table1[[#This Row],[Revenue]]</f>
        <v>0.28852963580590041</v>
      </c>
    </row>
    <row r="218" spans="1:12" x14ac:dyDescent="0.35">
      <c r="A218" t="s">
        <v>60</v>
      </c>
      <c r="B218" t="str">
        <f t="shared" si="3"/>
        <v>February</v>
      </c>
      <c r="C218" t="s">
        <v>10</v>
      </c>
      <c r="D218" t="s">
        <v>11</v>
      </c>
      <c r="E218" t="s">
        <v>12</v>
      </c>
      <c r="F218" t="s">
        <v>13</v>
      </c>
      <c r="G218">
        <v>155</v>
      </c>
      <c r="H218">
        <v>370295</v>
      </c>
      <c r="I218">
        <v>264131</v>
      </c>
      <c r="J218">
        <v>581</v>
      </c>
      <c r="K218">
        <f>Table1[[#This Row],[Revenue]]-Table1[[#This Row],[Cost]]</f>
        <v>106164</v>
      </c>
      <c r="L218" s="1">
        <f>Table1[[#This Row],[profit]]/Table1[[#This Row],[Revenue]]</f>
        <v>0.28670114368273941</v>
      </c>
    </row>
    <row r="219" spans="1:12" x14ac:dyDescent="0.35">
      <c r="A219" t="s">
        <v>56</v>
      </c>
      <c r="B219" t="str">
        <f t="shared" si="3"/>
        <v>February</v>
      </c>
      <c r="C219" t="s">
        <v>24</v>
      </c>
      <c r="D219" t="s">
        <v>11</v>
      </c>
      <c r="E219" t="s">
        <v>16</v>
      </c>
      <c r="F219" t="s">
        <v>17</v>
      </c>
      <c r="G219">
        <v>117</v>
      </c>
      <c r="H219">
        <v>217971</v>
      </c>
      <c r="I219">
        <v>157387</v>
      </c>
      <c r="J219">
        <v>677</v>
      </c>
      <c r="K219">
        <f>Table1[[#This Row],[Revenue]]-Table1[[#This Row],[Cost]]</f>
        <v>60584</v>
      </c>
      <c r="L219" s="1">
        <f>Table1[[#This Row],[profit]]/Table1[[#This Row],[Revenue]]</f>
        <v>0.27794523124635845</v>
      </c>
    </row>
    <row r="220" spans="1:12" x14ac:dyDescent="0.35">
      <c r="A220" t="s">
        <v>40</v>
      </c>
      <c r="B220" t="str">
        <f t="shared" si="3"/>
        <v>January</v>
      </c>
      <c r="C220" t="s">
        <v>42</v>
      </c>
      <c r="D220" t="s">
        <v>11</v>
      </c>
      <c r="E220" t="s">
        <v>16</v>
      </c>
      <c r="F220" t="s">
        <v>30</v>
      </c>
      <c r="G220">
        <v>178</v>
      </c>
      <c r="H220">
        <v>366502</v>
      </c>
      <c r="I220">
        <v>230960</v>
      </c>
      <c r="J220">
        <v>216</v>
      </c>
      <c r="K220">
        <f>Table1[[#This Row],[Revenue]]-Table1[[#This Row],[Cost]]</f>
        <v>135542</v>
      </c>
      <c r="L220" s="1">
        <f>Table1[[#This Row],[profit]]/Table1[[#This Row],[Revenue]]</f>
        <v>0.36982608553295754</v>
      </c>
    </row>
    <row r="221" spans="1:12" x14ac:dyDescent="0.35">
      <c r="A221" t="s">
        <v>31</v>
      </c>
      <c r="B221" t="str">
        <f t="shared" si="3"/>
        <v>February</v>
      </c>
      <c r="C221" t="s">
        <v>19</v>
      </c>
      <c r="D221" t="s">
        <v>11</v>
      </c>
      <c r="E221" t="s">
        <v>12</v>
      </c>
      <c r="F221" t="s">
        <v>13</v>
      </c>
      <c r="G221">
        <v>121</v>
      </c>
      <c r="H221">
        <v>265353</v>
      </c>
      <c r="I221">
        <v>215973</v>
      </c>
      <c r="J221">
        <v>877</v>
      </c>
      <c r="K221">
        <f>Table1[[#This Row],[Revenue]]-Table1[[#This Row],[Cost]]</f>
        <v>49380</v>
      </c>
      <c r="L221" s="1">
        <f>Table1[[#This Row],[profit]]/Table1[[#This Row],[Revenue]]</f>
        <v>0.18609173440662061</v>
      </c>
    </row>
    <row r="222" spans="1:12" x14ac:dyDescent="0.35">
      <c r="A222" t="s">
        <v>83</v>
      </c>
      <c r="B222" t="str">
        <f t="shared" si="3"/>
        <v>January</v>
      </c>
      <c r="C222" t="s">
        <v>15</v>
      </c>
      <c r="D222" t="s">
        <v>11</v>
      </c>
      <c r="E222" t="s">
        <v>29</v>
      </c>
      <c r="F222" t="s">
        <v>13</v>
      </c>
      <c r="G222">
        <v>194</v>
      </c>
      <c r="H222">
        <v>401580</v>
      </c>
      <c r="I222">
        <v>309169</v>
      </c>
      <c r="J222">
        <v>526</v>
      </c>
      <c r="K222">
        <f>Table1[[#This Row],[Revenue]]-Table1[[#This Row],[Cost]]</f>
        <v>92411</v>
      </c>
      <c r="L222" s="1">
        <f>Table1[[#This Row],[profit]]/Table1[[#This Row],[Revenue]]</f>
        <v>0.2301185317993924</v>
      </c>
    </row>
    <row r="223" spans="1:12" x14ac:dyDescent="0.35">
      <c r="A223" t="s">
        <v>67</v>
      </c>
      <c r="B223" t="str">
        <f t="shared" si="3"/>
        <v>February</v>
      </c>
      <c r="C223" t="s">
        <v>10</v>
      </c>
      <c r="D223" t="s">
        <v>11</v>
      </c>
      <c r="E223" t="s">
        <v>12</v>
      </c>
      <c r="F223" t="s">
        <v>30</v>
      </c>
      <c r="G223">
        <v>78</v>
      </c>
      <c r="H223">
        <v>151320</v>
      </c>
      <c r="I223">
        <v>92108</v>
      </c>
      <c r="J223">
        <v>292</v>
      </c>
      <c r="K223">
        <f>Table1[[#This Row],[Revenue]]-Table1[[#This Row],[Cost]]</f>
        <v>59212</v>
      </c>
      <c r="L223" s="1">
        <f>Table1[[#This Row],[profit]]/Table1[[#This Row],[Revenue]]</f>
        <v>0.39130319851969336</v>
      </c>
    </row>
    <row r="224" spans="1:12" x14ac:dyDescent="0.35">
      <c r="A224" t="s">
        <v>43</v>
      </c>
      <c r="B224" t="str">
        <f t="shared" si="3"/>
        <v>January</v>
      </c>
      <c r="C224" t="s">
        <v>19</v>
      </c>
      <c r="D224" t="s">
        <v>11</v>
      </c>
      <c r="E224" t="s">
        <v>12</v>
      </c>
      <c r="F224" t="s">
        <v>30</v>
      </c>
      <c r="G224">
        <v>144</v>
      </c>
      <c r="H224">
        <v>348048</v>
      </c>
      <c r="I224">
        <v>222252</v>
      </c>
      <c r="J224">
        <v>841</v>
      </c>
      <c r="K224">
        <f>Table1[[#This Row],[Revenue]]-Table1[[#This Row],[Cost]]</f>
        <v>125796</v>
      </c>
      <c r="L224" s="1">
        <f>Table1[[#This Row],[profit]]/Table1[[#This Row],[Revenue]]</f>
        <v>0.36143290580609572</v>
      </c>
    </row>
    <row r="225" spans="1:12" x14ac:dyDescent="0.35">
      <c r="A225" t="s">
        <v>28</v>
      </c>
      <c r="B225" t="str">
        <f t="shared" si="3"/>
        <v>February</v>
      </c>
      <c r="C225" t="s">
        <v>19</v>
      </c>
      <c r="D225" t="s">
        <v>11</v>
      </c>
      <c r="E225" t="s">
        <v>16</v>
      </c>
      <c r="F225" t="s">
        <v>13</v>
      </c>
      <c r="G225">
        <v>51</v>
      </c>
      <c r="H225">
        <v>94350</v>
      </c>
      <c r="I225">
        <v>60016</v>
      </c>
      <c r="J225">
        <v>321</v>
      </c>
      <c r="K225">
        <f>Table1[[#This Row],[Revenue]]-Table1[[#This Row],[Cost]]</f>
        <v>34334</v>
      </c>
      <c r="L225" s="1">
        <f>Table1[[#This Row],[profit]]/Table1[[#This Row],[Revenue]]</f>
        <v>0.36390037095919447</v>
      </c>
    </row>
    <row r="226" spans="1:12" x14ac:dyDescent="0.35">
      <c r="A226" t="s">
        <v>26</v>
      </c>
      <c r="B226" t="str">
        <f t="shared" si="3"/>
        <v>February</v>
      </c>
      <c r="C226" t="s">
        <v>24</v>
      </c>
      <c r="D226" t="s">
        <v>11</v>
      </c>
      <c r="E226" t="s">
        <v>29</v>
      </c>
      <c r="F226" t="s">
        <v>30</v>
      </c>
      <c r="G226">
        <v>126</v>
      </c>
      <c r="H226">
        <v>216972</v>
      </c>
      <c r="I226">
        <v>169219</v>
      </c>
      <c r="J226">
        <v>602</v>
      </c>
      <c r="K226">
        <f>Table1[[#This Row],[Revenue]]-Table1[[#This Row],[Cost]]</f>
        <v>47753</v>
      </c>
      <c r="L226" s="1">
        <f>Table1[[#This Row],[profit]]/Table1[[#This Row],[Revenue]]</f>
        <v>0.22008830632524012</v>
      </c>
    </row>
    <row r="227" spans="1:12" x14ac:dyDescent="0.35">
      <c r="A227" t="s">
        <v>81</v>
      </c>
      <c r="B227" t="str">
        <f t="shared" si="3"/>
        <v>February</v>
      </c>
      <c r="C227" t="s">
        <v>24</v>
      </c>
      <c r="D227" t="s">
        <v>11</v>
      </c>
      <c r="E227" t="s">
        <v>20</v>
      </c>
      <c r="F227" t="s">
        <v>30</v>
      </c>
      <c r="G227">
        <v>107</v>
      </c>
      <c r="H227">
        <v>217210</v>
      </c>
      <c r="I227">
        <v>141076</v>
      </c>
      <c r="J227">
        <v>843</v>
      </c>
      <c r="K227">
        <f>Table1[[#This Row],[Revenue]]-Table1[[#This Row],[Cost]]</f>
        <v>76134</v>
      </c>
      <c r="L227" s="1">
        <f>Table1[[#This Row],[profit]]/Table1[[#This Row],[Revenue]]</f>
        <v>0.35050872427604624</v>
      </c>
    </row>
    <row r="228" spans="1:12" x14ac:dyDescent="0.35">
      <c r="A228" t="s">
        <v>26</v>
      </c>
      <c r="B228" t="str">
        <f t="shared" si="3"/>
        <v>February</v>
      </c>
      <c r="C228" t="s">
        <v>24</v>
      </c>
      <c r="D228" t="s">
        <v>11</v>
      </c>
      <c r="E228" t="s">
        <v>20</v>
      </c>
      <c r="F228" t="s">
        <v>30</v>
      </c>
      <c r="G228">
        <v>175</v>
      </c>
      <c r="H228">
        <v>339675</v>
      </c>
      <c r="I228">
        <v>263981</v>
      </c>
      <c r="J228">
        <v>254</v>
      </c>
      <c r="K228">
        <f>Table1[[#This Row],[Revenue]]-Table1[[#This Row],[Cost]]</f>
        <v>75694</v>
      </c>
      <c r="L228" s="1">
        <f>Table1[[#This Row],[profit]]/Table1[[#This Row],[Revenue]]</f>
        <v>0.22284242290424672</v>
      </c>
    </row>
    <row r="229" spans="1:12" x14ac:dyDescent="0.35">
      <c r="A229" t="s">
        <v>44</v>
      </c>
      <c r="B229" t="str">
        <f t="shared" si="3"/>
        <v>January</v>
      </c>
      <c r="C229" t="s">
        <v>10</v>
      </c>
      <c r="D229" t="s">
        <v>11</v>
      </c>
      <c r="E229" t="s">
        <v>16</v>
      </c>
      <c r="F229" t="s">
        <v>13</v>
      </c>
      <c r="G229">
        <v>182</v>
      </c>
      <c r="H229">
        <v>452998</v>
      </c>
      <c r="I229">
        <v>322721</v>
      </c>
      <c r="J229">
        <v>656</v>
      </c>
      <c r="K229">
        <f>Table1[[#This Row],[Revenue]]-Table1[[#This Row],[Cost]]</f>
        <v>130277</v>
      </c>
      <c r="L229" s="1">
        <f>Table1[[#This Row],[profit]]/Table1[[#This Row],[Revenue]]</f>
        <v>0.28758846617424361</v>
      </c>
    </row>
    <row r="230" spans="1:12" x14ac:dyDescent="0.35">
      <c r="A230" t="s">
        <v>31</v>
      </c>
      <c r="B230" t="str">
        <f t="shared" si="3"/>
        <v>February</v>
      </c>
      <c r="C230" t="s">
        <v>15</v>
      </c>
      <c r="D230" t="s">
        <v>11</v>
      </c>
      <c r="E230" t="s">
        <v>29</v>
      </c>
      <c r="F230" t="s">
        <v>17</v>
      </c>
      <c r="G230">
        <v>151</v>
      </c>
      <c r="H230">
        <v>368138</v>
      </c>
      <c r="I230">
        <v>296822</v>
      </c>
      <c r="J230">
        <v>686</v>
      </c>
      <c r="K230">
        <f>Table1[[#This Row],[Revenue]]-Table1[[#This Row],[Cost]]</f>
        <v>71316</v>
      </c>
      <c r="L230" s="1">
        <f>Table1[[#This Row],[profit]]/Table1[[#This Row],[Revenue]]</f>
        <v>0.19372083294851386</v>
      </c>
    </row>
    <row r="231" spans="1:12" x14ac:dyDescent="0.35">
      <c r="A231" t="s">
        <v>9</v>
      </c>
      <c r="B231" t="str">
        <f t="shared" si="3"/>
        <v>February</v>
      </c>
      <c r="C231" t="s">
        <v>15</v>
      </c>
      <c r="D231" t="s">
        <v>11</v>
      </c>
      <c r="E231" t="s">
        <v>16</v>
      </c>
      <c r="F231" t="s">
        <v>13</v>
      </c>
      <c r="G231">
        <v>93</v>
      </c>
      <c r="H231">
        <v>229710</v>
      </c>
      <c r="I231">
        <v>156449</v>
      </c>
      <c r="J231">
        <v>577</v>
      </c>
      <c r="K231">
        <f>Table1[[#This Row],[Revenue]]-Table1[[#This Row],[Cost]]</f>
        <v>73261</v>
      </c>
      <c r="L231" s="1">
        <f>Table1[[#This Row],[profit]]/Table1[[#This Row],[Revenue]]</f>
        <v>0.31892821383483522</v>
      </c>
    </row>
    <row r="232" spans="1:12" x14ac:dyDescent="0.35">
      <c r="A232" t="s">
        <v>64</v>
      </c>
      <c r="B232" t="str">
        <f t="shared" si="3"/>
        <v>February</v>
      </c>
      <c r="C232" t="s">
        <v>24</v>
      </c>
      <c r="D232" t="s">
        <v>11</v>
      </c>
      <c r="E232" t="s">
        <v>12</v>
      </c>
      <c r="F232" t="s">
        <v>17</v>
      </c>
      <c r="G232">
        <v>194</v>
      </c>
      <c r="H232">
        <v>389164</v>
      </c>
      <c r="I232">
        <v>290905</v>
      </c>
      <c r="J232">
        <v>498</v>
      </c>
      <c r="K232">
        <f>Table1[[#This Row],[Revenue]]-Table1[[#This Row],[Cost]]</f>
        <v>98259</v>
      </c>
      <c r="L232" s="1">
        <f>Table1[[#This Row],[profit]]/Table1[[#This Row],[Revenue]]</f>
        <v>0.25248738321119119</v>
      </c>
    </row>
    <row r="233" spans="1:12" x14ac:dyDescent="0.35">
      <c r="A233" t="s">
        <v>62</v>
      </c>
      <c r="B233" t="str">
        <f t="shared" si="3"/>
        <v>January</v>
      </c>
      <c r="C233" t="s">
        <v>42</v>
      </c>
      <c r="D233" t="s">
        <v>11</v>
      </c>
      <c r="E233" t="s">
        <v>16</v>
      </c>
      <c r="F233" t="s">
        <v>17</v>
      </c>
      <c r="G233">
        <v>167</v>
      </c>
      <c r="H233">
        <v>381595</v>
      </c>
      <c r="I233">
        <v>286846</v>
      </c>
      <c r="J233">
        <v>360</v>
      </c>
      <c r="K233">
        <f>Table1[[#This Row],[Revenue]]-Table1[[#This Row],[Cost]]</f>
        <v>94749</v>
      </c>
      <c r="L233" s="1">
        <f>Table1[[#This Row],[profit]]/Table1[[#This Row],[Revenue]]</f>
        <v>0.24829727852828259</v>
      </c>
    </row>
    <row r="234" spans="1:12" x14ac:dyDescent="0.35">
      <c r="A234" t="s">
        <v>66</v>
      </c>
      <c r="B234" t="str">
        <f t="shared" si="3"/>
        <v>February</v>
      </c>
      <c r="C234" t="s">
        <v>42</v>
      </c>
      <c r="D234" t="s">
        <v>11</v>
      </c>
      <c r="E234" t="s">
        <v>16</v>
      </c>
      <c r="F234" t="s">
        <v>13</v>
      </c>
      <c r="G234">
        <v>116</v>
      </c>
      <c r="H234">
        <v>177828</v>
      </c>
      <c r="I234">
        <v>122755</v>
      </c>
      <c r="J234">
        <v>731</v>
      </c>
      <c r="K234">
        <f>Table1[[#This Row],[Revenue]]-Table1[[#This Row],[Cost]]</f>
        <v>55073</v>
      </c>
      <c r="L234" s="1">
        <f>Table1[[#This Row],[profit]]/Table1[[#This Row],[Revenue]]</f>
        <v>0.3096981352767843</v>
      </c>
    </row>
    <row r="235" spans="1:12" x14ac:dyDescent="0.35">
      <c r="A235" t="s">
        <v>58</v>
      </c>
      <c r="B235" t="str">
        <f t="shared" si="3"/>
        <v>January</v>
      </c>
      <c r="C235" t="s">
        <v>24</v>
      </c>
      <c r="D235" t="s">
        <v>11</v>
      </c>
      <c r="E235" t="s">
        <v>12</v>
      </c>
      <c r="F235" t="s">
        <v>30</v>
      </c>
      <c r="G235">
        <v>74</v>
      </c>
      <c r="H235">
        <v>172198</v>
      </c>
      <c r="I235">
        <v>143607</v>
      </c>
      <c r="J235">
        <v>756</v>
      </c>
      <c r="K235">
        <f>Table1[[#This Row],[Revenue]]-Table1[[#This Row],[Cost]]</f>
        <v>28591</v>
      </c>
      <c r="L235" s="1">
        <f>Table1[[#This Row],[profit]]/Table1[[#This Row],[Revenue]]</f>
        <v>0.16603561016968837</v>
      </c>
    </row>
    <row r="236" spans="1:12" x14ac:dyDescent="0.35">
      <c r="A236" t="s">
        <v>69</v>
      </c>
      <c r="B236" t="str">
        <f t="shared" si="3"/>
        <v>January</v>
      </c>
      <c r="C236" t="s">
        <v>24</v>
      </c>
      <c r="D236" t="s">
        <v>11</v>
      </c>
      <c r="E236" t="s">
        <v>12</v>
      </c>
      <c r="F236" t="s">
        <v>13</v>
      </c>
      <c r="G236">
        <v>131</v>
      </c>
      <c r="H236">
        <v>233049</v>
      </c>
      <c r="I236">
        <v>146034</v>
      </c>
      <c r="J236">
        <v>916</v>
      </c>
      <c r="K236">
        <f>Table1[[#This Row],[Revenue]]-Table1[[#This Row],[Cost]]</f>
        <v>87015</v>
      </c>
      <c r="L236" s="1">
        <f>Table1[[#This Row],[profit]]/Table1[[#This Row],[Revenue]]</f>
        <v>0.37337641440212144</v>
      </c>
    </row>
    <row r="237" spans="1:12" x14ac:dyDescent="0.35">
      <c r="A237" t="s">
        <v>81</v>
      </c>
      <c r="B237" t="str">
        <f t="shared" si="3"/>
        <v>February</v>
      </c>
      <c r="C237" t="s">
        <v>19</v>
      </c>
      <c r="D237" t="s">
        <v>11</v>
      </c>
      <c r="E237" t="s">
        <v>12</v>
      </c>
      <c r="F237" t="s">
        <v>17</v>
      </c>
      <c r="G237">
        <v>102</v>
      </c>
      <c r="H237">
        <v>201450</v>
      </c>
      <c r="I237">
        <v>139602</v>
      </c>
      <c r="J237">
        <v>643</v>
      </c>
      <c r="K237">
        <f>Table1[[#This Row],[Revenue]]-Table1[[#This Row],[Cost]]</f>
        <v>61848</v>
      </c>
      <c r="L237" s="1">
        <f>Table1[[#This Row],[profit]]/Table1[[#This Row],[Revenue]]</f>
        <v>0.30701414743112437</v>
      </c>
    </row>
    <row r="238" spans="1:12" x14ac:dyDescent="0.35">
      <c r="A238" t="s">
        <v>46</v>
      </c>
      <c r="B238" t="str">
        <f t="shared" si="3"/>
        <v>January</v>
      </c>
      <c r="C238" t="s">
        <v>42</v>
      </c>
      <c r="D238" t="s">
        <v>11</v>
      </c>
      <c r="E238" t="s">
        <v>20</v>
      </c>
      <c r="F238" t="s">
        <v>17</v>
      </c>
      <c r="G238">
        <v>175</v>
      </c>
      <c r="H238">
        <v>407400</v>
      </c>
      <c r="I238">
        <v>310025</v>
      </c>
      <c r="J238">
        <v>948</v>
      </c>
      <c r="K238">
        <f>Table1[[#This Row],[Revenue]]-Table1[[#This Row],[Cost]]</f>
        <v>97375</v>
      </c>
      <c r="L238" s="1">
        <f>Table1[[#This Row],[profit]]/Table1[[#This Row],[Revenue]]</f>
        <v>0.23901570937653413</v>
      </c>
    </row>
    <row r="239" spans="1:12" x14ac:dyDescent="0.35">
      <c r="A239" t="s">
        <v>83</v>
      </c>
      <c r="B239" t="str">
        <f t="shared" si="3"/>
        <v>January</v>
      </c>
      <c r="C239" t="s">
        <v>19</v>
      </c>
      <c r="D239" t="s">
        <v>11</v>
      </c>
      <c r="E239" t="s">
        <v>20</v>
      </c>
      <c r="F239" t="s">
        <v>13</v>
      </c>
      <c r="G239">
        <v>182</v>
      </c>
      <c r="H239">
        <v>337428</v>
      </c>
      <c r="I239">
        <v>216219</v>
      </c>
      <c r="J239">
        <v>645</v>
      </c>
      <c r="K239">
        <f>Table1[[#This Row],[Revenue]]-Table1[[#This Row],[Cost]]</f>
        <v>121209</v>
      </c>
      <c r="L239" s="1">
        <f>Table1[[#This Row],[profit]]/Table1[[#This Row],[Revenue]]</f>
        <v>0.35921441018528399</v>
      </c>
    </row>
    <row r="240" spans="1:12" x14ac:dyDescent="0.35">
      <c r="A240" t="s">
        <v>79</v>
      </c>
      <c r="B240" t="str">
        <f t="shared" si="3"/>
        <v>January</v>
      </c>
      <c r="C240" t="s">
        <v>22</v>
      </c>
      <c r="D240" t="s">
        <v>11</v>
      </c>
      <c r="E240" t="s">
        <v>16</v>
      </c>
      <c r="F240" t="s">
        <v>17</v>
      </c>
      <c r="G240">
        <v>51</v>
      </c>
      <c r="H240">
        <v>85323</v>
      </c>
      <c r="I240">
        <v>59839</v>
      </c>
      <c r="J240">
        <v>836</v>
      </c>
      <c r="K240">
        <f>Table1[[#This Row],[Revenue]]-Table1[[#This Row],[Cost]]</f>
        <v>25484</v>
      </c>
      <c r="L240" s="1">
        <f>Table1[[#This Row],[profit]]/Table1[[#This Row],[Revenue]]</f>
        <v>0.2986767928928894</v>
      </c>
    </row>
    <row r="241" spans="1:12" x14ac:dyDescent="0.35">
      <c r="A241" t="s">
        <v>65</v>
      </c>
      <c r="B241" t="str">
        <f t="shared" si="3"/>
        <v>January</v>
      </c>
      <c r="C241" t="s">
        <v>24</v>
      </c>
      <c r="D241" t="s">
        <v>11</v>
      </c>
      <c r="E241" t="s">
        <v>12</v>
      </c>
      <c r="F241" t="s">
        <v>30</v>
      </c>
      <c r="G241">
        <v>110</v>
      </c>
      <c r="H241">
        <v>184030</v>
      </c>
      <c r="I241">
        <v>134399</v>
      </c>
      <c r="J241">
        <v>667</v>
      </c>
      <c r="K241">
        <f>Table1[[#This Row],[Revenue]]-Table1[[#This Row],[Cost]]</f>
        <v>49631</v>
      </c>
      <c r="L241" s="1">
        <f>Table1[[#This Row],[profit]]/Table1[[#This Row],[Revenue]]</f>
        <v>0.26968972450143996</v>
      </c>
    </row>
    <row r="242" spans="1:12" x14ac:dyDescent="0.35">
      <c r="A242" t="s">
        <v>76</v>
      </c>
      <c r="B242" t="str">
        <f t="shared" si="3"/>
        <v>January</v>
      </c>
      <c r="C242" t="s">
        <v>10</v>
      </c>
      <c r="D242" t="s">
        <v>11</v>
      </c>
      <c r="E242" t="s">
        <v>16</v>
      </c>
      <c r="F242" t="s">
        <v>30</v>
      </c>
      <c r="G242">
        <v>170</v>
      </c>
      <c r="H242">
        <v>411910</v>
      </c>
      <c r="I242">
        <v>300328</v>
      </c>
      <c r="J242">
        <v>804</v>
      </c>
      <c r="K242">
        <f>Table1[[#This Row],[Revenue]]-Table1[[#This Row],[Cost]]</f>
        <v>111582</v>
      </c>
      <c r="L242" s="1">
        <f>Table1[[#This Row],[profit]]/Table1[[#This Row],[Revenue]]</f>
        <v>0.27088927192833384</v>
      </c>
    </row>
    <row r="243" spans="1:12" x14ac:dyDescent="0.35">
      <c r="A243" t="s">
        <v>66</v>
      </c>
      <c r="B243" t="str">
        <f t="shared" si="3"/>
        <v>February</v>
      </c>
      <c r="C243" t="s">
        <v>19</v>
      </c>
      <c r="D243" t="s">
        <v>11</v>
      </c>
      <c r="E243" t="s">
        <v>16</v>
      </c>
      <c r="F243" t="s">
        <v>30</v>
      </c>
      <c r="G243">
        <v>95</v>
      </c>
      <c r="H243">
        <v>156560</v>
      </c>
      <c r="I243">
        <v>105386</v>
      </c>
      <c r="J243">
        <v>382</v>
      </c>
      <c r="K243">
        <f>Table1[[#This Row],[Revenue]]-Table1[[#This Row],[Cost]]</f>
        <v>51174</v>
      </c>
      <c r="L243" s="1">
        <f>Table1[[#This Row],[profit]]/Table1[[#This Row],[Revenue]]</f>
        <v>0.32686509964230964</v>
      </c>
    </row>
    <row r="244" spans="1:12" x14ac:dyDescent="0.35">
      <c r="A244" t="s">
        <v>41</v>
      </c>
      <c r="B244" t="str">
        <f t="shared" si="3"/>
        <v>February</v>
      </c>
      <c r="C244" t="s">
        <v>19</v>
      </c>
      <c r="D244" t="s">
        <v>11</v>
      </c>
      <c r="E244" t="s">
        <v>20</v>
      </c>
      <c r="F244" t="s">
        <v>13</v>
      </c>
      <c r="G244">
        <v>68</v>
      </c>
      <c r="H244">
        <v>164152</v>
      </c>
      <c r="I244">
        <v>125875</v>
      </c>
      <c r="J244">
        <v>713</v>
      </c>
      <c r="K244">
        <f>Table1[[#This Row],[Revenue]]-Table1[[#This Row],[Cost]]</f>
        <v>38277</v>
      </c>
      <c r="L244" s="1">
        <f>Table1[[#This Row],[profit]]/Table1[[#This Row],[Revenue]]</f>
        <v>0.23318022320775866</v>
      </c>
    </row>
    <row r="245" spans="1:12" x14ac:dyDescent="0.35">
      <c r="A245" t="s">
        <v>33</v>
      </c>
      <c r="B245" t="str">
        <f t="shared" si="3"/>
        <v>January</v>
      </c>
      <c r="C245" t="s">
        <v>10</v>
      </c>
      <c r="D245" t="s">
        <v>11</v>
      </c>
      <c r="E245" t="s">
        <v>12</v>
      </c>
      <c r="F245" t="s">
        <v>13</v>
      </c>
      <c r="G245">
        <v>94</v>
      </c>
      <c r="H245">
        <v>145418</v>
      </c>
      <c r="I245">
        <v>104636</v>
      </c>
      <c r="J245">
        <v>947</v>
      </c>
      <c r="K245">
        <f>Table1[[#This Row],[Revenue]]-Table1[[#This Row],[Cost]]</f>
        <v>40782</v>
      </c>
      <c r="L245" s="1">
        <f>Table1[[#This Row],[profit]]/Table1[[#This Row],[Revenue]]</f>
        <v>0.2804467122364494</v>
      </c>
    </row>
    <row r="246" spans="1:12" x14ac:dyDescent="0.35">
      <c r="A246" t="s">
        <v>39</v>
      </c>
      <c r="B246" t="str">
        <f t="shared" si="3"/>
        <v>January</v>
      </c>
      <c r="C246" t="s">
        <v>42</v>
      </c>
      <c r="D246" t="s">
        <v>11</v>
      </c>
      <c r="E246" t="s">
        <v>12</v>
      </c>
      <c r="F246" t="s">
        <v>17</v>
      </c>
      <c r="G246">
        <v>139</v>
      </c>
      <c r="H246">
        <v>340828</v>
      </c>
      <c r="I246">
        <v>209873</v>
      </c>
      <c r="J246">
        <v>265</v>
      </c>
      <c r="K246">
        <f>Table1[[#This Row],[Revenue]]-Table1[[#This Row],[Cost]]</f>
        <v>130955</v>
      </c>
      <c r="L246" s="1">
        <f>Table1[[#This Row],[profit]]/Table1[[#This Row],[Revenue]]</f>
        <v>0.38422606123910008</v>
      </c>
    </row>
    <row r="247" spans="1:12" x14ac:dyDescent="0.35">
      <c r="A247" t="s">
        <v>58</v>
      </c>
      <c r="B247" t="str">
        <f t="shared" si="3"/>
        <v>January</v>
      </c>
      <c r="C247" t="s">
        <v>22</v>
      </c>
      <c r="D247" t="s">
        <v>11</v>
      </c>
      <c r="E247" t="s">
        <v>12</v>
      </c>
      <c r="F247" t="s">
        <v>17</v>
      </c>
      <c r="G247">
        <v>93</v>
      </c>
      <c r="H247">
        <v>172329</v>
      </c>
      <c r="I247">
        <v>119958</v>
      </c>
      <c r="J247">
        <v>354</v>
      </c>
      <c r="K247">
        <f>Table1[[#This Row],[Revenue]]-Table1[[#This Row],[Cost]]</f>
        <v>52371</v>
      </c>
      <c r="L247" s="1">
        <f>Table1[[#This Row],[profit]]/Table1[[#This Row],[Revenue]]</f>
        <v>0.30390125863899864</v>
      </c>
    </row>
    <row r="248" spans="1:12" x14ac:dyDescent="0.35">
      <c r="A248" t="s">
        <v>51</v>
      </c>
      <c r="B248" t="str">
        <f t="shared" si="3"/>
        <v>January</v>
      </c>
      <c r="C248" t="s">
        <v>22</v>
      </c>
      <c r="D248" t="s">
        <v>11</v>
      </c>
      <c r="E248" t="s">
        <v>16</v>
      </c>
      <c r="F248" t="s">
        <v>13</v>
      </c>
      <c r="G248">
        <v>200</v>
      </c>
      <c r="H248">
        <v>314400</v>
      </c>
      <c r="I248">
        <v>256112</v>
      </c>
      <c r="J248">
        <v>389</v>
      </c>
      <c r="K248">
        <f>Table1[[#This Row],[Revenue]]-Table1[[#This Row],[Cost]]</f>
        <v>58288</v>
      </c>
      <c r="L248" s="1">
        <f>Table1[[#This Row],[profit]]/Table1[[#This Row],[Revenue]]</f>
        <v>0.18539440203562341</v>
      </c>
    </row>
    <row r="249" spans="1:12" x14ac:dyDescent="0.35">
      <c r="A249" t="s">
        <v>64</v>
      </c>
      <c r="B249" t="str">
        <f t="shared" si="3"/>
        <v>February</v>
      </c>
      <c r="C249" t="s">
        <v>10</v>
      </c>
      <c r="D249" t="s">
        <v>11</v>
      </c>
      <c r="E249" t="s">
        <v>29</v>
      </c>
      <c r="F249" t="s">
        <v>13</v>
      </c>
      <c r="G249">
        <v>105</v>
      </c>
      <c r="H249">
        <v>185115</v>
      </c>
      <c r="I249">
        <v>116843</v>
      </c>
      <c r="J249">
        <v>895</v>
      </c>
      <c r="K249">
        <f>Table1[[#This Row],[Revenue]]-Table1[[#This Row],[Cost]]</f>
        <v>68272</v>
      </c>
      <c r="L249" s="1">
        <f>Table1[[#This Row],[profit]]/Table1[[#This Row],[Revenue]]</f>
        <v>0.36880857845123299</v>
      </c>
    </row>
    <row r="250" spans="1:12" x14ac:dyDescent="0.35">
      <c r="A250" t="s">
        <v>64</v>
      </c>
      <c r="B250" t="str">
        <f t="shared" si="3"/>
        <v>February</v>
      </c>
      <c r="C250" t="s">
        <v>22</v>
      </c>
      <c r="D250" t="s">
        <v>11</v>
      </c>
      <c r="E250" t="s">
        <v>16</v>
      </c>
      <c r="F250" t="s">
        <v>17</v>
      </c>
      <c r="G250">
        <v>189</v>
      </c>
      <c r="H250">
        <v>440370</v>
      </c>
      <c r="I250">
        <v>287104</v>
      </c>
      <c r="J250">
        <v>258</v>
      </c>
      <c r="K250">
        <f>Table1[[#This Row],[Revenue]]-Table1[[#This Row],[Cost]]</f>
        <v>153266</v>
      </c>
      <c r="L250" s="1">
        <f>Table1[[#This Row],[profit]]/Table1[[#This Row],[Revenue]]</f>
        <v>0.34803914889751797</v>
      </c>
    </row>
    <row r="251" spans="1:12" x14ac:dyDescent="0.35">
      <c r="A251" t="s">
        <v>82</v>
      </c>
      <c r="B251" t="str">
        <f t="shared" si="3"/>
        <v>January</v>
      </c>
      <c r="C251" t="s">
        <v>22</v>
      </c>
      <c r="D251" t="s">
        <v>11</v>
      </c>
      <c r="E251" t="s">
        <v>20</v>
      </c>
      <c r="F251" t="s">
        <v>30</v>
      </c>
      <c r="G251">
        <v>110</v>
      </c>
      <c r="H251">
        <v>272910</v>
      </c>
      <c r="I251">
        <v>177507</v>
      </c>
      <c r="J251">
        <v>635</v>
      </c>
      <c r="K251">
        <f>Table1[[#This Row],[Revenue]]-Table1[[#This Row],[Cost]]</f>
        <v>95403</v>
      </c>
      <c r="L251" s="1">
        <f>Table1[[#This Row],[profit]]/Table1[[#This Row],[Revenue]]</f>
        <v>0.34957678355501814</v>
      </c>
    </row>
    <row r="252" spans="1:12" x14ac:dyDescent="0.35">
      <c r="A252" t="s">
        <v>38</v>
      </c>
      <c r="B252" t="str">
        <f t="shared" si="3"/>
        <v>February</v>
      </c>
      <c r="C252" t="s">
        <v>24</v>
      </c>
      <c r="D252" t="s">
        <v>11</v>
      </c>
      <c r="E252" t="s">
        <v>29</v>
      </c>
      <c r="F252" t="s">
        <v>17</v>
      </c>
      <c r="G252">
        <v>58</v>
      </c>
      <c r="H252">
        <v>90828</v>
      </c>
      <c r="I252">
        <v>71798</v>
      </c>
      <c r="J252">
        <v>818</v>
      </c>
      <c r="K252">
        <f>Table1[[#This Row],[Revenue]]-Table1[[#This Row],[Cost]]</f>
        <v>19030</v>
      </c>
      <c r="L252" s="1">
        <f>Table1[[#This Row],[profit]]/Table1[[#This Row],[Revenue]]</f>
        <v>0.20951688906504601</v>
      </c>
    </row>
    <row r="253" spans="1:12" x14ac:dyDescent="0.35">
      <c r="A253" t="s">
        <v>82</v>
      </c>
      <c r="B253" t="str">
        <f t="shared" si="3"/>
        <v>January</v>
      </c>
      <c r="C253" t="s">
        <v>10</v>
      </c>
      <c r="D253" t="s">
        <v>11</v>
      </c>
      <c r="E253" t="s">
        <v>16</v>
      </c>
      <c r="F253" t="s">
        <v>13</v>
      </c>
      <c r="G253">
        <v>147</v>
      </c>
      <c r="H253">
        <v>325311</v>
      </c>
      <c r="I253">
        <v>253821</v>
      </c>
      <c r="J253">
        <v>416</v>
      </c>
      <c r="K253">
        <f>Table1[[#This Row],[Revenue]]-Table1[[#This Row],[Cost]]</f>
        <v>71490</v>
      </c>
      <c r="L253" s="1">
        <f>Table1[[#This Row],[profit]]/Table1[[#This Row],[Revenue]]</f>
        <v>0.21975893836974464</v>
      </c>
    </row>
    <row r="254" spans="1:12" x14ac:dyDescent="0.35">
      <c r="A254" t="s">
        <v>21</v>
      </c>
      <c r="B254" t="str">
        <f t="shared" si="3"/>
        <v>January</v>
      </c>
      <c r="C254" t="s">
        <v>19</v>
      </c>
      <c r="D254" t="s">
        <v>11</v>
      </c>
      <c r="E254" t="s">
        <v>29</v>
      </c>
      <c r="F254" t="s">
        <v>30</v>
      </c>
      <c r="G254">
        <v>199</v>
      </c>
      <c r="H254">
        <v>397602</v>
      </c>
      <c r="I254">
        <v>310690</v>
      </c>
      <c r="J254">
        <v>742</v>
      </c>
      <c r="K254">
        <f>Table1[[#This Row],[Revenue]]-Table1[[#This Row],[Cost]]</f>
        <v>86912</v>
      </c>
      <c r="L254" s="1">
        <f>Table1[[#This Row],[profit]]/Table1[[#This Row],[Revenue]]</f>
        <v>0.21859044974622865</v>
      </c>
    </row>
    <row r="255" spans="1:12" x14ac:dyDescent="0.35">
      <c r="A255" t="s">
        <v>74</v>
      </c>
      <c r="B255" t="str">
        <f t="shared" si="3"/>
        <v>February</v>
      </c>
      <c r="C255" t="s">
        <v>24</v>
      </c>
      <c r="D255" t="s">
        <v>11</v>
      </c>
      <c r="E255" t="s">
        <v>12</v>
      </c>
      <c r="F255" t="s">
        <v>13</v>
      </c>
      <c r="G255">
        <v>185</v>
      </c>
      <c r="H255">
        <v>409590</v>
      </c>
      <c r="I255">
        <v>282947</v>
      </c>
      <c r="J255">
        <v>500</v>
      </c>
      <c r="K255">
        <f>Table1[[#This Row],[Revenue]]-Table1[[#This Row],[Cost]]</f>
        <v>126643</v>
      </c>
      <c r="L255" s="1">
        <f>Table1[[#This Row],[profit]]/Table1[[#This Row],[Revenue]]</f>
        <v>0.30919456041407262</v>
      </c>
    </row>
    <row r="256" spans="1:12" x14ac:dyDescent="0.35">
      <c r="A256" t="s">
        <v>31</v>
      </c>
      <c r="B256" t="str">
        <f t="shared" si="3"/>
        <v>February</v>
      </c>
      <c r="C256" t="s">
        <v>24</v>
      </c>
      <c r="D256" t="s">
        <v>11</v>
      </c>
      <c r="E256" t="s">
        <v>12</v>
      </c>
      <c r="F256" t="s">
        <v>17</v>
      </c>
      <c r="G256">
        <v>182</v>
      </c>
      <c r="H256">
        <v>407316</v>
      </c>
      <c r="I256">
        <v>336659</v>
      </c>
      <c r="J256">
        <v>888</v>
      </c>
      <c r="K256">
        <f>Table1[[#This Row],[Revenue]]-Table1[[#This Row],[Cost]]</f>
        <v>70657</v>
      </c>
      <c r="L256" s="1">
        <f>Table1[[#This Row],[profit]]/Table1[[#This Row],[Revenue]]</f>
        <v>0.17346973848314332</v>
      </c>
    </row>
    <row r="257" spans="1:12" x14ac:dyDescent="0.35">
      <c r="A257" t="s">
        <v>76</v>
      </c>
      <c r="B257" t="str">
        <f t="shared" si="3"/>
        <v>January</v>
      </c>
      <c r="C257" t="s">
        <v>22</v>
      </c>
      <c r="D257" t="s">
        <v>11</v>
      </c>
      <c r="E257" t="s">
        <v>16</v>
      </c>
      <c r="F257" t="s">
        <v>17</v>
      </c>
      <c r="G257">
        <v>186</v>
      </c>
      <c r="H257">
        <v>375906</v>
      </c>
      <c r="I257">
        <v>285339</v>
      </c>
      <c r="J257">
        <v>676</v>
      </c>
      <c r="K257">
        <f>Table1[[#This Row],[Revenue]]-Table1[[#This Row],[Cost]]</f>
        <v>90567</v>
      </c>
      <c r="L257" s="1">
        <f>Table1[[#This Row],[profit]]/Table1[[#This Row],[Revenue]]</f>
        <v>0.24092991332939617</v>
      </c>
    </row>
    <row r="258" spans="1:12" x14ac:dyDescent="0.35">
      <c r="A258" t="s">
        <v>82</v>
      </c>
      <c r="B258" t="str">
        <f t="shared" si="3"/>
        <v>January</v>
      </c>
      <c r="C258" t="s">
        <v>15</v>
      </c>
      <c r="D258" t="s">
        <v>11</v>
      </c>
      <c r="E258" t="s">
        <v>16</v>
      </c>
      <c r="F258" t="s">
        <v>30</v>
      </c>
      <c r="G258">
        <v>191</v>
      </c>
      <c r="H258">
        <v>291848</v>
      </c>
      <c r="I258">
        <v>194493</v>
      </c>
      <c r="J258">
        <v>368</v>
      </c>
      <c r="K258">
        <f>Table1[[#This Row],[Revenue]]-Table1[[#This Row],[Cost]]</f>
        <v>97355</v>
      </c>
      <c r="L258" s="1">
        <f>Table1[[#This Row],[profit]]/Table1[[#This Row],[Revenue]]</f>
        <v>0.33358117924399</v>
      </c>
    </row>
    <row r="259" spans="1:12" x14ac:dyDescent="0.35">
      <c r="A259" t="s">
        <v>63</v>
      </c>
      <c r="B259" t="str">
        <f t="shared" ref="B259:B301" si="4">TEXT(A259,"mmmm")</f>
        <v>January</v>
      </c>
      <c r="C259" t="s">
        <v>42</v>
      </c>
      <c r="D259" t="s">
        <v>11</v>
      </c>
      <c r="E259" t="s">
        <v>16</v>
      </c>
      <c r="F259" t="s">
        <v>30</v>
      </c>
      <c r="G259">
        <v>61</v>
      </c>
      <c r="H259">
        <v>131699</v>
      </c>
      <c r="I259">
        <v>100199</v>
      </c>
      <c r="J259">
        <v>630</v>
      </c>
      <c r="K259">
        <f>Table1[[#This Row],[Revenue]]-Table1[[#This Row],[Cost]]</f>
        <v>31500</v>
      </c>
      <c r="L259" s="1">
        <f>Table1[[#This Row],[profit]]/Table1[[#This Row],[Revenue]]</f>
        <v>0.23918177055254786</v>
      </c>
    </row>
    <row r="260" spans="1:12" x14ac:dyDescent="0.35">
      <c r="A260" t="s">
        <v>72</v>
      </c>
      <c r="B260" t="str">
        <f t="shared" si="4"/>
        <v>January</v>
      </c>
      <c r="C260" t="s">
        <v>15</v>
      </c>
      <c r="D260" t="s">
        <v>11</v>
      </c>
      <c r="E260" t="s">
        <v>16</v>
      </c>
      <c r="F260" t="s">
        <v>17</v>
      </c>
      <c r="G260">
        <v>200</v>
      </c>
      <c r="H260">
        <v>406800</v>
      </c>
      <c r="I260">
        <v>306524</v>
      </c>
      <c r="J260">
        <v>331</v>
      </c>
      <c r="K260">
        <f>Table1[[#This Row],[Revenue]]-Table1[[#This Row],[Cost]]</f>
        <v>100276</v>
      </c>
      <c r="L260" s="1">
        <f>Table1[[#This Row],[profit]]/Table1[[#This Row],[Revenue]]</f>
        <v>0.24649950835791543</v>
      </c>
    </row>
    <row r="261" spans="1:12" x14ac:dyDescent="0.35">
      <c r="A261" t="s">
        <v>47</v>
      </c>
      <c r="B261" t="str">
        <f t="shared" si="4"/>
        <v>February</v>
      </c>
      <c r="C261" t="s">
        <v>24</v>
      </c>
      <c r="D261" t="s">
        <v>11</v>
      </c>
      <c r="E261" t="s">
        <v>16</v>
      </c>
      <c r="F261" t="s">
        <v>17</v>
      </c>
      <c r="G261">
        <v>86</v>
      </c>
      <c r="H261">
        <v>146888</v>
      </c>
      <c r="I261">
        <v>96730</v>
      </c>
      <c r="J261">
        <v>669</v>
      </c>
      <c r="K261">
        <f>Table1[[#This Row],[Revenue]]-Table1[[#This Row],[Cost]]</f>
        <v>50158</v>
      </c>
      <c r="L261" s="1">
        <f>Table1[[#This Row],[profit]]/Table1[[#This Row],[Revenue]]</f>
        <v>0.34147105277490331</v>
      </c>
    </row>
    <row r="262" spans="1:12" x14ac:dyDescent="0.35">
      <c r="A262" t="s">
        <v>27</v>
      </c>
      <c r="B262" t="str">
        <f t="shared" si="4"/>
        <v>February</v>
      </c>
      <c r="C262" t="s">
        <v>15</v>
      </c>
      <c r="D262" t="s">
        <v>11</v>
      </c>
      <c r="E262" t="s">
        <v>29</v>
      </c>
      <c r="F262" t="s">
        <v>17</v>
      </c>
      <c r="G262">
        <v>155</v>
      </c>
      <c r="H262">
        <v>306745</v>
      </c>
      <c r="I262">
        <v>216046</v>
      </c>
      <c r="J262">
        <v>635</v>
      </c>
      <c r="K262">
        <f>Table1[[#This Row],[Revenue]]-Table1[[#This Row],[Cost]]</f>
        <v>90699</v>
      </c>
      <c r="L262" s="1">
        <f>Table1[[#This Row],[profit]]/Table1[[#This Row],[Revenue]]</f>
        <v>0.29568208120751766</v>
      </c>
    </row>
    <row r="263" spans="1:12" x14ac:dyDescent="0.35">
      <c r="A263" t="s">
        <v>26</v>
      </c>
      <c r="B263" t="str">
        <f t="shared" si="4"/>
        <v>February</v>
      </c>
      <c r="C263" t="s">
        <v>10</v>
      </c>
      <c r="D263" t="s">
        <v>11</v>
      </c>
      <c r="E263" t="s">
        <v>16</v>
      </c>
      <c r="F263" t="s">
        <v>13</v>
      </c>
      <c r="G263">
        <v>92</v>
      </c>
      <c r="H263">
        <v>150328</v>
      </c>
      <c r="I263">
        <v>113301</v>
      </c>
      <c r="J263">
        <v>905</v>
      </c>
      <c r="K263">
        <f>Table1[[#This Row],[Revenue]]-Table1[[#This Row],[Cost]]</f>
        <v>37027</v>
      </c>
      <c r="L263" s="1">
        <f>Table1[[#This Row],[profit]]/Table1[[#This Row],[Revenue]]</f>
        <v>0.24630807301367677</v>
      </c>
    </row>
    <row r="264" spans="1:12" x14ac:dyDescent="0.35">
      <c r="A264" t="s">
        <v>78</v>
      </c>
      <c r="B264" t="str">
        <f t="shared" si="4"/>
        <v>January</v>
      </c>
      <c r="C264" t="s">
        <v>22</v>
      </c>
      <c r="D264" t="s">
        <v>11</v>
      </c>
      <c r="E264" t="s">
        <v>20</v>
      </c>
      <c r="F264" t="s">
        <v>13</v>
      </c>
      <c r="G264">
        <v>101</v>
      </c>
      <c r="H264">
        <v>241188</v>
      </c>
      <c r="I264">
        <v>191498</v>
      </c>
      <c r="J264">
        <v>816</v>
      </c>
      <c r="K264">
        <f>Table1[[#This Row],[Revenue]]-Table1[[#This Row],[Cost]]</f>
        <v>49690</v>
      </c>
      <c r="L264" s="1">
        <f>Table1[[#This Row],[profit]]/Table1[[#This Row],[Revenue]]</f>
        <v>0.20602185846725377</v>
      </c>
    </row>
    <row r="265" spans="1:12" x14ac:dyDescent="0.35">
      <c r="A265" t="s">
        <v>57</v>
      </c>
      <c r="B265" t="str">
        <f t="shared" si="4"/>
        <v>February</v>
      </c>
      <c r="C265" t="s">
        <v>24</v>
      </c>
      <c r="D265" t="s">
        <v>11</v>
      </c>
      <c r="E265" t="s">
        <v>20</v>
      </c>
      <c r="F265" t="s">
        <v>17</v>
      </c>
      <c r="G265">
        <v>71</v>
      </c>
      <c r="H265">
        <v>149597</v>
      </c>
      <c r="I265">
        <v>121186</v>
      </c>
      <c r="J265">
        <v>734</v>
      </c>
      <c r="K265">
        <f>Table1[[#This Row],[Revenue]]-Table1[[#This Row],[Cost]]</f>
        <v>28411</v>
      </c>
      <c r="L265" s="1">
        <f>Table1[[#This Row],[profit]]/Table1[[#This Row],[Revenue]]</f>
        <v>0.18991691009846454</v>
      </c>
    </row>
    <row r="266" spans="1:12" x14ac:dyDescent="0.35">
      <c r="A266" t="s">
        <v>79</v>
      </c>
      <c r="B266" t="str">
        <f t="shared" si="4"/>
        <v>January</v>
      </c>
      <c r="C266" t="s">
        <v>15</v>
      </c>
      <c r="D266" t="s">
        <v>11</v>
      </c>
      <c r="E266" t="s">
        <v>29</v>
      </c>
      <c r="F266" t="s">
        <v>30</v>
      </c>
      <c r="G266">
        <v>144</v>
      </c>
      <c r="H266">
        <v>242928</v>
      </c>
      <c r="I266">
        <v>176199</v>
      </c>
      <c r="J266">
        <v>763</v>
      </c>
      <c r="K266">
        <f>Table1[[#This Row],[Revenue]]-Table1[[#This Row],[Cost]]</f>
        <v>66729</v>
      </c>
      <c r="L266" s="1">
        <f>Table1[[#This Row],[profit]]/Table1[[#This Row],[Revenue]]</f>
        <v>0.27468632681288285</v>
      </c>
    </row>
    <row r="267" spans="1:12" x14ac:dyDescent="0.35">
      <c r="A267" t="s">
        <v>36</v>
      </c>
      <c r="B267" t="str">
        <f t="shared" si="4"/>
        <v>January</v>
      </c>
      <c r="C267" t="s">
        <v>24</v>
      </c>
      <c r="D267" t="s">
        <v>11</v>
      </c>
      <c r="E267" t="s">
        <v>16</v>
      </c>
      <c r="F267" t="s">
        <v>30</v>
      </c>
      <c r="G267">
        <v>108</v>
      </c>
      <c r="H267">
        <v>214272</v>
      </c>
      <c r="I267">
        <v>133378</v>
      </c>
      <c r="J267">
        <v>370</v>
      </c>
      <c r="K267">
        <f>Table1[[#This Row],[Revenue]]-Table1[[#This Row],[Cost]]</f>
        <v>80894</v>
      </c>
      <c r="L267" s="1">
        <f>Table1[[#This Row],[profit]]/Table1[[#This Row],[Revenue]]</f>
        <v>0.37752949522102747</v>
      </c>
    </row>
    <row r="268" spans="1:12" x14ac:dyDescent="0.35">
      <c r="A268" t="s">
        <v>26</v>
      </c>
      <c r="B268" t="str">
        <f t="shared" si="4"/>
        <v>February</v>
      </c>
      <c r="C268" t="s">
        <v>24</v>
      </c>
      <c r="D268" t="s">
        <v>11</v>
      </c>
      <c r="E268" t="s">
        <v>12</v>
      </c>
      <c r="F268" t="s">
        <v>17</v>
      </c>
      <c r="G268">
        <v>129</v>
      </c>
      <c r="H268">
        <v>243939</v>
      </c>
      <c r="I268">
        <v>150062</v>
      </c>
      <c r="J268">
        <v>466</v>
      </c>
      <c r="K268">
        <f>Table1[[#This Row],[Revenue]]-Table1[[#This Row],[Cost]]</f>
        <v>93877</v>
      </c>
      <c r="L268" s="1">
        <f>Table1[[#This Row],[profit]]/Table1[[#This Row],[Revenue]]</f>
        <v>0.38483801278188401</v>
      </c>
    </row>
    <row r="269" spans="1:12" x14ac:dyDescent="0.35">
      <c r="A269" t="s">
        <v>50</v>
      </c>
      <c r="B269" t="str">
        <f t="shared" si="4"/>
        <v>February</v>
      </c>
      <c r="C269" t="s">
        <v>22</v>
      </c>
      <c r="D269" t="s">
        <v>11</v>
      </c>
      <c r="E269" t="s">
        <v>12</v>
      </c>
      <c r="F269" t="s">
        <v>13</v>
      </c>
      <c r="G269">
        <v>130</v>
      </c>
      <c r="H269">
        <v>240500</v>
      </c>
      <c r="I269">
        <v>196416</v>
      </c>
      <c r="J269">
        <v>394</v>
      </c>
      <c r="K269">
        <f>Table1[[#This Row],[Revenue]]-Table1[[#This Row],[Cost]]</f>
        <v>44084</v>
      </c>
      <c r="L269" s="1">
        <f>Table1[[#This Row],[profit]]/Table1[[#This Row],[Revenue]]</f>
        <v>0.18330145530145531</v>
      </c>
    </row>
    <row r="270" spans="1:12" x14ac:dyDescent="0.35">
      <c r="A270" t="s">
        <v>32</v>
      </c>
      <c r="B270" t="str">
        <f t="shared" si="4"/>
        <v>January</v>
      </c>
      <c r="C270" t="s">
        <v>15</v>
      </c>
      <c r="D270" t="s">
        <v>11</v>
      </c>
      <c r="E270" t="s">
        <v>20</v>
      </c>
      <c r="F270" t="s">
        <v>30</v>
      </c>
      <c r="G270">
        <v>79</v>
      </c>
      <c r="H270">
        <v>160212</v>
      </c>
      <c r="I270">
        <v>104224</v>
      </c>
      <c r="J270">
        <v>929</v>
      </c>
      <c r="K270">
        <f>Table1[[#This Row],[Revenue]]-Table1[[#This Row],[Cost]]</f>
        <v>55988</v>
      </c>
      <c r="L270" s="1">
        <f>Table1[[#This Row],[profit]]/Table1[[#This Row],[Revenue]]</f>
        <v>0.3494619628991586</v>
      </c>
    </row>
    <row r="271" spans="1:12" x14ac:dyDescent="0.35">
      <c r="A271" t="s">
        <v>64</v>
      </c>
      <c r="B271" t="str">
        <f t="shared" si="4"/>
        <v>February</v>
      </c>
      <c r="C271" t="s">
        <v>24</v>
      </c>
      <c r="D271" t="s">
        <v>11</v>
      </c>
      <c r="E271" t="s">
        <v>16</v>
      </c>
      <c r="F271" t="s">
        <v>13</v>
      </c>
      <c r="G271">
        <v>67</v>
      </c>
      <c r="H271">
        <v>121806</v>
      </c>
      <c r="I271">
        <v>73241</v>
      </c>
      <c r="J271">
        <v>604</v>
      </c>
      <c r="K271">
        <f>Table1[[#This Row],[Revenue]]-Table1[[#This Row],[Cost]]</f>
        <v>48565</v>
      </c>
      <c r="L271" s="1">
        <f>Table1[[#This Row],[profit]]/Table1[[#This Row],[Revenue]]</f>
        <v>0.39870778122588379</v>
      </c>
    </row>
    <row r="272" spans="1:12" x14ac:dyDescent="0.35">
      <c r="A272" t="s">
        <v>46</v>
      </c>
      <c r="B272" t="str">
        <f t="shared" si="4"/>
        <v>January</v>
      </c>
      <c r="C272" t="s">
        <v>15</v>
      </c>
      <c r="D272" t="s">
        <v>11</v>
      </c>
      <c r="E272" t="s">
        <v>29</v>
      </c>
      <c r="F272" t="s">
        <v>30</v>
      </c>
      <c r="G272">
        <v>121</v>
      </c>
      <c r="H272">
        <v>285197</v>
      </c>
      <c r="I272">
        <v>185093</v>
      </c>
      <c r="J272">
        <v>346</v>
      </c>
      <c r="K272">
        <f>Table1[[#This Row],[Revenue]]-Table1[[#This Row],[Cost]]</f>
        <v>100104</v>
      </c>
      <c r="L272" s="1">
        <f>Table1[[#This Row],[profit]]/Table1[[#This Row],[Revenue]]</f>
        <v>0.35099948456680818</v>
      </c>
    </row>
    <row r="273" spans="1:12" x14ac:dyDescent="0.35">
      <c r="A273" t="s">
        <v>28</v>
      </c>
      <c r="B273" t="str">
        <f t="shared" si="4"/>
        <v>February</v>
      </c>
      <c r="C273" t="s">
        <v>22</v>
      </c>
      <c r="D273" t="s">
        <v>11</v>
      </c>
      <c r="E273" t="s">
        <v>12</v>
      </c>
      <c r="F273" t="s">
        <v>13</v>
      </c>
      <c r="G273">
        <v>50</v>
      </c>
      <c r="H273">
        <v>77700</v>
      </c>
      <c r="I273">
        <v>56620</v>
      </c>
      <c r="J273">
        <v>928</v>
      </c>
      <c r="K273">
        <f>Table1[[#This Row],[Revenue]]-Table1[[#This Row],[Cost]]</f>
        <v>21080</v>
      </c>
      <c r="L273" s="1">
        <f>Table1[[#This Row],[profit]]/Table1[[#This Row],[Revenue]]</f>
        <v>0.27129987129987132</v>
      </c>
    </row>
    <row r="274" spans="1:12" x14ac:dyDescent="0.35">
      <c r="A274" t="s">
        <v>35</v>
      </c>
      <c r="B274" t="str">
        <f t="shared" si="4"/>
        <v>February</v>
      </c>
      <c r="C274" t="s">
        <v>22</v>
      </c>
      <c r="D274" t="s">
        <v>11</v>
      </c>
      <c r="E274" t="s">
        <v>29</v>
      </c>
      <c r="F274" t="s">
        <v>30</v>
      </c>
      <c r="G274">
        <v>95</v>
      </c>
      <c r="H274">
        <v>171475</v>
      </c>
      <c r="I274">
        <v>106987</v>
      </c>
      <c r="J274">
        <v>941</v>
      </c>
      <c r="K274">
        <f>Table1[[#This Row],[Revenue]]-Table1[[#This Row],[Cost]]</f>
        <v>64488</v>
      </c>
      <c r="L274" s="1">
        <f>Table1[[#This Row],[profit]]/Table1[[#This Row],[Revenue]]</f>
        <v>0.37607814550225982</v>
      </c>
    </row>
    <row r="275" spans="1:12" x14ac:dyDescent="0.35">
      <c r="A275" t="s">
        <v>63</v>
      </c>
      <c r="B275" t="str">
        <f t="shared" si="4"/>
        <v>January</v>
      </c>
      <c r="C275" t="s">
        <v>22</v>
      </c>
      <c r="D275" t="s">
        <v>11</v>
      </c>
      <c r="E275" t="s">
        <v>16</v>
      </c>
      <c r="F275" t="s">
        <v>13</v>
      </c>
      <c r="G275">
        <v>70</v>
      </c>
      <c r="H275">
        <v>118230</v>
      </c>
      <c r="I275">
        <v>78900</v>
      </c>
      <c r="J275">
        <v>474</v>
      </c>
      <c r="K275">
        <f>Table1[[#This Row],[Revenue]]-Table1[[#This Row],[Cost]]</f>
        <v>39330</v>
      </c>
      <c r="L275" s="1">
        <f>Table1[[#This Row],[profit]]/Table1[[#This Row],[Revenue]]</f>
        <v>0.33265668612027405</v>
      </c>
    </row>
    <row r="276" spans="1:12" x14ac:dyDescent="0.35">
      <c r="A276" t="s">
        <v>23</v>
      </c>
      <c r="B276" t="str">
        <f t="shared" si="4"/>
        <v>March</v>
      </c>
      <c r="C276" t="s">
        <v>10</v>
      </c>
      <c r="D276" t="s">
        <v>11</v>
      </c>
      <c r="E276" t="s">
        <v>29</v>
      </c>
      <c r="F276" t="s">
        <v>17</v>
      </c>
      <c r="G276">
        <v>170</v>
      </c>
      <c r="H276">
        <v>398990</v>
      </c>
      <c r="I276">
        <v>299190</v>
      </c>
      <c r="J276">
        <v>919</v>
      </c>
      <c r="K276">
        <f>Table1[[#This Row],[Revenue]]-Table1[[#This Row],[Cost]]</f>
        <v>99800</v>
      </c>
      <c r="L276" s="1">
        <f>Table1[[#This Row],[profit]]/Table1[[#This Row],[Revenue]]</f>
        <v>0.25013158224516907</v>
      </c>
    </row>
    <row r="277" spans="1:12" x14ac:dyDescent="0.35">
      <c r="A277" t="s">
        <v>34</v>
      </c>
      <c r="B277" t="str">
        <f t="shared" si="4"/>
        <v>February</v>
      </c>
      <c r="C277" t="s">
        <v>42</v>
      </c>
      <c r="D277" t="s">
        <v>11</v>
      </c>
      <c r="E277" t="s">
        <v>12</v>
      </c>
      <c r="F277" t="s">
        <v>13</v>
      </c>
      <c r="G277">
        <v>67</v>
      </c>
      <c r="H277">
        <v>108607</v>
      </c>
      <c r="I277">
        <v>84567</v>
      </c>
      <c r="J277">
        <v>263</v>
      </c>
      <c r="K277">
        <f>Table1[[#This Row],[Revenue]]-Table1[[#This Row],[Cost]]</f>
        <v>24040</v>
      </c>
      <c r="L277" s="1">
        <f>Table1[[#This Row],[profit]]/Table1[[#This Row],[Revenue]]</f>
        <v>0.22134853186258713</v>
      </c>
    </row>
    <row r="278" spans="1:12" x14ac:dyDescent="0.35">
      <c r="A278" t="s">
        <v>53</v>
      </c>
      <c r="B278" t="str">
        <f t="shared" si="4"/>
        <v>January</v>
      </c>
      <c r="C278" t="s">
        <v>10</v>
      </c>
      <c r="D278" t="s">
        <v>11</v>
      </c>
      <c r="E278" t="s">
        <v>29</v>
      </c>
      <c r="F278" t="s">
        <v>13</v>
      </c>
      <c r="G278">
        <v>101</v>
      </c>
      <c r="H278">
        <v>176346</v>
      </c>
      <c r="I278">
        <v>139398</v>
      </c>
      <c r="J278">
        <v>307</v>
      </c>
      <c r="K278">
        <f>Table1[[#This Row],[Revenue]]-Table1[[#This Row],[Cost]]</f>
        <v>36948</v>
      </c>
      <c r="L278" s="1">
        <f>Table1[[#This Row],[profit]]/Table1[[#This Row],[Revenue]]</f>
        <v>0.20951992106427136</v>
      </c>
    </row>
    <row r="279" spans="1:12" x14ac:dyDescent="0.35">
      <c r="A279" t="s">
        <v>28</v>
      </c>
      <c r="B279" t="str">
        <f t="shared" si="4"/>
        <v>February</v>
      </c>
      <c r="C279" t="s">
        <v>15</v>
      </c>
      <c r="D279" t="s">
        <v>11</v>
      </c>
      <c r="E279" t="s">
        <v>16</v>
      </c>
      <c r="F279" t="s">
        <v>13</v>
      </c>
      <c r="G279">
        <v>50</v>
      </c>
      <c r="H279">
        <v>115050</v>
      </c>
      <c r="I279">
        <v>71468</v>
      </c>
      <c r="J279">
        <v>536</v>
      </c>
      <c r="K279">
        <f>Table1[[#This Row],[Revenue]]-Table1[[#This Row],[Cost]]</f>
        <v>43582</v>
      </c>
      <c r="L279" s="1">
        <f>Table1[[#This Row],[profit]]/Table1[[#This Row],[Revenue]]</f>
        <v>0.37880921338548457</v>
      </c>
    </row>
    <row r="280" spans="1:12" x14ac:dyDescent="0.35">
      <c r="A280" t="s">
        <v>58</v>
      </c>
      <c r="B280" t="str">
        <f t="shared" si="4"/>
        <v>January</v>
      </c>
      <c r="C280" t="s">
        <v>24</v>
      </c>
      <c r="D280" t="s">
        <v>11</v>
      </c>
      <c r="E280" t="s">
        <v>29</v>
      </c>
      <c r="F280" t="s">
        <v>17</v>
      </c>
      <c r="G280">
        <v>159</v>
      </c>
      <c r="H280">
        <v>337080</v>
      </c>
      <c r="I280">
        <v>219970</v>
      </c>
      <c r="J280">
        <v>610</v>
      </c>
      <c r="K280">
        <f>Table1[[#This Row],[Revenue]]-Table1[[#This Row],[Cost]]</f>
        <v>117110</v>
      </c>
      <c r="L280" s="1">
        <f>Table1[[#This Row],[profit]]/Table1[[#This Row],[Revenue]]</f>
        <v>0.3474249436335588</v>
      </c>
    </row>
    <row r="281" spans="1:12" x14ac:dyDescent="0.35">
      <c r="A281" t="s">
        <v>83</v>
      </c>
      <c r="B281" t="str">
        <f t="shared" si="4"/>
        <v>January</v>
      </c>
      <c r="C281" t="s">
        <v>15</v>
      </c>
      <c r="D281" t="s">
        <v>11</v>
      </c>
      <c r="E281" t="s">
        <v>29</v>
      </c>
      <c r="F281" t="s">
        <v>17</v>
      </c>
      <c r="G281">
        <v>177</v>
      </c>
      <c r="H281">
        <v>307095</v>
      </c>
      <c r="I281">
        <v>252533</v>
      </c>
      <c r="J281">
        <v>686</v>
      </c>
      <c r="K281">
        <f>Table1[[#This Row],[Revenue]]-Table1[[#This Row],[Cost]]</f>
        <v>54562</v>
      </c>
      <c r="L281" s="1">
        <f>Table1[[#This Row],[profit]]/Table1[[#This Row],[Revenue]]</f>
        <v>0.17767140461420733</v>
      </c>
    </row>
    <row r="282" spans="1:12" x14ac:dyDescent="0.35">
      <c r="A282" t="s">
        <v>61</v>
      </c>
      <c r="B282" t="str">
        <f t="shared" si="4"/>
        <v>January</v>
      </c>
      <c r="C282" t="s">
        <v>19</v>
      </c>
      <c r="D282" t="s">
        <v>11</v>
      </c>
      <c r="E282" t="s">
        <v>20</v>
      </c>
      <c r="F282" t="s">
        <v>17</v>
      </c>
      <c r="G282">
        <v>153</v>
      </c>
      <c r="H282">
        <v>367506</v>
      </c>
      <c r="I282">
        <v>235788</v>
      </c>
      <c r="J282">
        <v>481</v>
      </c>
      <c r="K282">
        <f>Table1[[#This Row],[Revenue]]-Table1[[#This Row],[Cost]]</f>
        <v>131718</v>
      </c>
      <c r="L282" s="1">
        <f>Table1[[#This Row],[profit]]/Table1[[#This Row],[Revenue]]</f>
        <v>0.35841047493102152</v>
      </c>
    </row>
    <row r="283" spans="1:12" x14ac:dyDescent="0.35">
      <c r="A283" t="s">
        <v>35</v>
      </c>
      <c r="B283" t="str">
        <f t="shared" si="4"/>
        <v>February</v>
      </c>
      <c r="C283" t="s">
        <v>19</v>
      </c>
      <c r="D283" t="s">
        <v>11</v>
      </c>
      <c r="E283" t="s">
        <v>20</v>
      </c>
      <c r="F283" t="s">
        <v>17</v>
      </c>
      <c r="G283">
        <v>190</v>
      </c>
      <c r="H283">
        <v>474810</v>
      </c>
      <c r="I283">
        <v>367554</v>
      </c>
      <c r="J283">
        <v>853</v>
      </c>
      <c r="K283">
        <f>Table1[[#This Row],[Revenue]]-Table1[[#This Row],[Cost]]</f>
        <v>107256</v>
      </c>
      <c r="L283" s="1">
        <f>Table1[[#This Row],[profit]]/Table1[[#This Row],[Revenue]]</f>
        <v>0.22589246224805712</v>
      </c>
    </row>
    <row r="284" spans="1:12" x14ac:dyDescent="0.35">
      <c r="A284" t="s">
        <v>14</v>
      </c>
      <c r="B284" t="str">
        <f t="shared" si="4"/>
        <v>February</v>
      </c>
      <c r="C284" t="s">
        <v>19</v>
      </c>
      <c r="D284" t="s">
        <v>11</v>
      </c>
      <c r="E284" t="s">
        <v>16</v>
      </c>
      <c r="F284" t="s">
        <v>13</v>
      </c>
      <c r="G284">
        <v>67</v>
      </c>
      <c r="H284">
        <v>149142</v>
      </c>
      <c r="I284">
        <v>119291</v>
      </c>
      <c r="J284">
        <v>257</v>
      </c>
      <c r="K284">
        <f>Table1[[#This Row],[Revenue]]-Table1[[#This Row],[Cost]]</f>
        <v>29851</v>
      </c>
      <c r="L284" s="1">
        <f>Table1[[#This Row],[profit]]/Table1[[#This Row],[Revenue]]</f>
        <v>0.20015153343793163</v>
      </c>
    </row>
    <row r="285" spans="1:12" x14ac:dyDescent="0.35">
      <c r="A285" t="s">
        <v>50</v>
      </c>
      <c r="B285" t="str">
        <f t="shared" si="4"/>
        <v>February</v>
      </c>
      <c r="C285" t="s">
        <v>24</v>
      </c>
      <c r="D285" t="s">
        <v>11</v>
      </c>
      <c r="E285" t="s">
        <v>20</v>
      </c>
      <c r="F285" t="s">
        <v>17</v>
      </c>
      <c r="G285">
        <v>58</v>
      </c>
      <c r="H285">
        <v>117218</v>
      </c>
      <c r="I285">
        <v>97987</v>
      </c>
      <c r="J285">
        <v>994</v>
      </c>
      <c r="K285">
        <f>Table1[[#This Row],[Revenue]]-Table1[[#This Row],[Cost]]</f>
        <v>19231</v>
      </c>
      <c r="L285" s="1">
        <f>Table1[[#This Row],[profit]]/Table1[[#This Row],[Revenue]]</f>
        <v>0.16406183350679929</v>
      </c>
    </row>
    <row r="286" spans="1:12" x14ac:dyDescent="0.35">
      <c r="A286" t="s">
        <v>66</v>
      </c>
      <c r="B286" t="str">
        <f t="shared" si="4"/>
        <v>February</v>
      </c>
      <c r="C286" t="s">
        <v>15</v>
      </c>
      <c r="D286" t="s">
        <v>11</v>
      </c>
      <c r="E286" t="s">
        <v>12</v>
      </c>
      <c r="F286" t="s">
        <v>17</v>
      </c>
      <c r="G286">
        <v>180</v>
      </c>
      <c r="H286">
        <v>322560</v>
      </c>
      <c r="I286">
        <v>198480</v>
      </c>
      <c r="J286">
        <v>520</v>
      </c>
      <c r="K286">
        <f>Table1[[#This Row],[Revenue]]-Table1[[#This Row],[Cost]]</f>
        <v>124080</v>
      </c>
      <c r="L286" s="1">
        <f>Table1[[#This Row],[profit]]/Table1[[#This Row],[Revenue]]</f>
        <v>0.38467261904761907</v>
      </c>
    </row>
    <row r="287" spans="1:12" x14ac:dyDescent="0.35">
      <c r="A287" t="s">
        <v>43</v>
      </c>
      <c r="B287" t="str">
        <f t="shared" si="4"/>
        <v>January</v>
      </c>
      <c r="C287" t="s">
        <v>24</v>
      </c>
      <c r="D287" t="s">
        <v>11</v>
      </c>
      <c r="E287" t="s">
        <v>20</v>
      </c>
      <c r="F287" t="s">
        <v>17</v>
      </c>
      <c r="G287">
        <v>122</v>
      </c>
      <c r="H287">
        <v>202764</v>
      </c>
      <c r="I287">
        <v>169270</v>
      </c>
      <c r="J287">
        <v>471</v>
      </c>
      <c r="K287">
        <f>Table1[[#This Row],[Revenue]]-Table1[[#This Row],[Cost]]</f>
        <v>33494</v>
      </c>
      <c r="L287" s="1">
        <f>Table1[[#This Row],[profit]]/Table1[[#This Row],[Revenue]]</f>
        <v>0.16518711408336786</v>
      </c>
    </row>
    <row r="288" spans="1:12" x14ac:dyDescent="0.35">
      <c r="A288" t="s">
        <v>34</v>
      </c>
      <c r="B288" t="str">
        <f t="shared" si="4"/>
        <v>February</v>
      </c>
      <c r="C288" t="s">
        <v>42</v>
      </c>
      <c r="D288" t="s">
        <v>11</v>
      </c>
      <c r="E288" t="s">
        <v>20</v>
      </c>
      <c r="F288" t="s">
        <v>30</v>
      </c>
      <c r="G288">
        <v>166</v>
      </c>
      <c r="H288">
        <v>366528</v>
      </c>
      <c r="I288">
        <v>310621</v>
      </c>
      <c r="J288">
        <v>569</v>
      </c>
      <c r="K288">
        <f>Table1[[#This Row],[Revenue]]-Table1[[#This Row],[Cost]]</f>
        <v>55907</v>
      </c>
      <c r="L288" s="1">
        <f>Table1[[#This Row],[profit]]/Table1[[#This Row],[Revenue]]</f>
        <v>0.15253132093591759</v>
      </c>
    </row>
    <row r="289" spans="1:12" x14ac:dyDescent="0.35">
      <c r="A289" t="s">
        <v>57</v>
      </c>
      <c r="B289" t="str">
        <f t="shared" si="4"/>
        <v>February</v>
      </c>
      <c r="C289" t="s">
        <v>22</v>
      </c>
      <c r="D289" t="s">
        <v>11</v>
      </c>
      <c r="E289" t="s">
        <v>20</v>
      </c>
      <c r="F289" t="s">
        <v>30</v>
      </c>
      <c r="G289">
        <v>171</v>
      </c>
      <c r="H289">
        <v>341487</v>
      </c>
      <c r="I289">
        <v>271092</v>
      </c>
      <c r="J289">
        <v>605</v>
      </c>
      <c r="K289">
        <f>Table1[[#This Row],[Revenue]]-Table1[[#This Row],[Cost]]</f>
        <v>70395</v>
      </c>
      <c r="L289" s="1">
        <f>Table1[[#This Row],[profit]]/Table1[[#This Row],[Revenue]]</f>
        <v>0.20614254715406444</v>
      </c>
    </row>
    <row r="290" spans="1:12" x14ac:dyDescent="0.35">
      <c r="A290" t="s">
        <v>38</v>
      </c>
      <c r="B290" t="str">
        <f t="shared" si="4"/>
        <v>February</v>
      </c>
      <c r="C290" t="s">
        <v>10</v>
      </c>
      <c r="D290" t="s">
        <v>11</v>
      </c>
      <c r="E290" t="s">
        <v>16</v>
      </c>
      <c r="F290" t="s">
        <v>30</v>
      </c>
      <c r="G290">
        <v>159</v>
      </c>
      <c r="H290">
        <v>378261</v>
      </c>
      <c r="I290">
        <v>249726</v>
      </c>
      <c r="J290">
        <v>413</v>
      </c>
      <c r="K290">
        <f>Table1[[#This Row],[Revenue]]-Table1[[#This Row],[Cost]]</f>
        <v>128535</v>
      </c>
      <c r="L290" s="1">
        <f>Table1[[#This Row],[profit]]/Table1[[#This Row],[Revenue]]</f>
        <v>0.33980505523963611</v>
      </c>
    </row>
    <row r="291" spans="1:12" x14ac:dyDescent="0.35">
      <c r="A291" t="s">
        <v>41</v>
      </c>
      <c r="B291" t="str">
        <f t="shared" si="4"/>
        <v>February</v>
      </c>
      <c r="C291" t="s">
        <v>42</v>
      </c>
      <c r="D291" t="s">
        <v>11</v>
      </c>
      <c r="E291" t="s">
        <v>16</v>
      </c>
      <c r="F291" t="s">
        <v>17</v>
      </c>
      <c r="G291">
        <v>184</v>
      </c>
      <c r="H291">
        <v>281520</v>
      </c>
      <c r="I291">
        <v>176745</v>
      </c>
      <c r="J291">
        <v>787</v>
      </c>
      <c r="K291">
        <f>Table1[[#This Row],[Revenue]]-Table1[[#This Row],[Cost]]</f>
        <v>104775</v>
      </c>
      <c r="L291" s="1">
        <f>Table1[[#This Row],[profit]]/Table1[[#This Row],[Revenue]]</f>
        <v>0.37217604433077578</v>
      </c>
    </row>
    <row r="292" spans="1:12" x14ac:dyDescent="0.35">
      <c r="A292" t="s">
        <v>72</v>
      </c>
      <c r="B292" t="str">
        <f t="shared" si="4"/>
        <v>January</v>
      </c>
      <c r="C292" t="s">
        <v>42</v>
      </c>
      <c r="D292" t="s">
        <v>11</v>
      </c>
      <c r="E292" t="s">
        <v>16</v>
      </c>
      <c r="F292" t="s">
        <v>30</v>
      </c>
      <c r="G292">
        <v>181</v>
      </c>
      <c r="H292">
        <v>443088</v>
      </c>
      <c r="I292">
        <v>292591</v>
      </c>
      <c r="J292">
        <v>762</v>
      </c>
      <c r="K292">
        <f>Table1[[#This Row],[Revenue]]-Table1[[#This Row],[Cost]]</f>
        <v>150497</v>
      </c>
      <c r="L292" s="1">
        <f>Table1[[#This Row],[profit]]/Table1[[#This Row],[Revenue]]</f>
        <v>0.33965487668363847</v>
      </c>
    </row>
    <row r="293" spans="1:12" x14ac:dyDescent="0.35">
      <c r="A293" t="s">
        <v>27</v>
      </c>
      <c r="B293" t="str">
        <f t="shared" si="4"/>
        <v>February</v>
      </c>
      <c r="C293" t="s">
        <v>42</v>
      </c>
      <c r="D293" t="s">
        <v>11</v>
      </c>
      <c r="E293" t="s">
        <v>20</v>
      </c>
      <c r="F293" t="s">
        <v>17</v>
      </c>
      <c r="G293">
        <v>140</v>
      </c>
      <c r="H293">
        <v>260540</v>
      </c>
      <c r="I293">
        <v>162383</v>
      </c>
      <c r="J293">
        <v>798</v>
      </c>
      <c r="K293">
        <f>Table1[[#This Row],[Revenue]]-Table1[[#This Row],[Cost]]</f>
        <v>98157</v>
      </c>
      <c r="L293" s="1">
        <f>Table1[[#This Row],[profit]]/Table1[[#This Row],[Revenue]]</f>
        <v>0.37674445382666771</v>
      </c>
    </row>
    <row r="294" spans="1:12" x14ac:dyDescent="0.35">
      <c r="A294" t="s">
        <v>52</v>
      </c>
      <c r="B294" t="str">
        <f t="shared" si="4"/>
        <v>February</v>
      </c>
      <c r="C294" t="s">
        <v>42</v>
      </c>
      <c r="D294" t="s">
        <v>11</v>
      </c>
      <c r="E294" t="s">
        <v>20</v>
      </c>
      <c r="F294" t="s">
        <v>13</v>
      </c>
      <c r="G294">
        <v>72</v>
      </c>
      <c r="H294">
        <v>121176</v>
      </c>
      <c r="I294">
        <v>99331</v>
      </c>
      <c r="J294">
        <v>884</v>
      </c>
      <c r="K294">
        <f>Table1[[#This Row],[Revenue]]-Table1[[#This Row],[Cost]]</f>
        <v>21845</v>
      </c>
      <c r="L294" s="1">
        <f>Table1[[#This Row],[profit]]/Table1[[#This Row],[Revenue]]</f>
        <v>0.18027497194163861</v>
      </c>
    </row>
    <row r="295" spans="1:12" x14ac:dyDescent="0.35">
      <c r="A295" t="s">
        <v>47</v>
      </c>
      <c r="B295" t="str">
        <f t="shared" si="4"/>
        <v>February</v>
      </c>
      <c r="C295" t="s">
        <v>22</v>
      </c>
      <c r="D295" t="s">
        <v>11</v>
      </c>
      <c r="E295" t="s">
        <v>29</v>
      </c>
      <c r="F295" t="s">
        <v>13</v>
      </c>
      <c r="G295">
        <v>179</v>
      </c>
      <c r="H295">
        <v>302510</v>
      </c>
      <c r="I295">
        <v>203381</v>
      </c>
      <c r="J295">
        <v>970</v>
      </c>
      <c r="K295">
        <f>Table1[[#This Row],[Revenue]]-Table1[[#This Row],[Cost]]</f>
        <v>99129</v>
      </c>
      <c r="L295" s="1">
        <f>Table1[[#This Row],[profit]]/Table1[[#This Row],[Revenue]]</f>
        <v>0.32768834088129317</v>
      </c>
    </row>
    <row r="296" spans="1:12" x14ac:dyDescent="0.35">
      <c r="A296" t="s">
        <v>44</v>
      </c>
      <c r="B296" t="str">
        <f t="shared" si="4"/>
        <v>January</v>
      </c>
      <c r="C296" t="s">
        <v>19</v>
      </c>
      <c r="D296" t="s">
        <v>11</v>
      </c>
      <c r="E296" t="s">
        <v>16</v>
      </c>
      <c r="F296" t="s">
        <v>17</v>
      </c>
      <c r="G296">
        <v>121</v>
      </c>
      <c r="H296">
        <v>235829</v>
      </c>
      <c r="I296">
        <v>158794</v>
      </c>
      <c r="J296">
        <v>607</v>
      </c>
      <c r="K296">
        <f>Table1[[#This Row],[Revenue]]-Table1[[#This Row],[Cost]]</f>
        <v>77035</v>
      </c>
      <c r="L296" s="1">
        <f>Table1[[#This Row],[profit]]/Table1[[#This Row],[Revenue]]</f>
        <v>0.32665617884144865</v>
      </c>
    </row>
    <row r="297" spans="1:12" x14ac:dyDescent="0.35">
      <c r="A297" t="s">
        <v>44</v>
      </c>
      <c r="B297" t="str">
        <f t="shared" si="4"/>
        <v>January</v>
      </c>
      <c r="C297" t="s">
        <v>22</v>
      </c>
      <c r="D297" t="s">
        <v>11</v>
      </c>
      <c r="E297" t="s">
        <v>16</v>
      </c>
      <c r="F297" t="s">
        <v>13</v>
      </c>
      <c r="G297">
        <v>92</v>
      </c>
      <c r="H297">
        <v>199180</v>
      </c>
      <c r="I297">
        <v>135328</v>
      </c>
      <c r="J297">
        <v>735</v>
      </c>
      <c r="K297">
        <f>Table1[[#This Row],[Revenue]]-Table1[[#This Row],[Cost]]</f>
        <v>63852</v>
      </c>
      <c r="L297" s="1">
        <f>Table1[[#This Row],[profit]]/Table1[[#This Row],[Revenue]]</f>
        <v>0.3205743548549051</v>
      </c>
    </row>
    <row r="298" spans="1:12" x14ac:dyDescent="0.35">
      <c r="A298" t="s">
        <v>46</v>
      </c>
      <c r="B298" t="str">
        <f t="shared" si="4"/>
        <v>January</v>
      </c>
      <c r="C298" t="s">
        <v>19</v>
      </c>
      <c r="D298" t="s">
        <v>11</v>
      </c>
      <c r="E298" t="s">
        <v>16</v>
      </c>
      <c r="F298" t="s">
        <v>17</v>
      </c>
      <c r="G298">
        <v>137</v>
      </c>
      <c r="H298">
        <v>231393</v>
      </c>
      <c r="I298">
        <v>191010</v>
      </c>
      <c r="J298">
        <v>833</v>
      </c>
      <c r="K298">
        <f>Table1[[#This Row],[Revenue]]-Table1[[#This Row],[Cost]]</f>
        <v>40383</v>
      </c>
      <c r="L298" s="1">
        <f>Table1[[#This Row],[profit]]/Table1[[#This Row],[Revenue]]</f>
        <v>0.17452126900986634</v>
      </c>
    </row>
    <row r="299" spans="1:12" x14ac:dyDescent="0.35">
      <c r="A299" t="s">
        <v>40</v>
      </c>
      <c r="B299" t="str">
        <f t="shared" si="4"/>
        <v>January</v>
      </c>
      <c r="C299" t="s">
        <v>42</v>
      </c>
      <c r="D299" t="s">
        <v>11</v>
      </c>
      <c r="E299" t="s">
        <v>12</v>
      </c>
      <c r="F299" t="s">
        <v>30</v>
      </c>
      <c r="G299">
        <v>117</v>
      </c>
      <c r="H299">
        <v>263835</v>
      </c>
      <c r="I299">
        <v>184740</v>
      </c>
      <c r="J299">
        <v>688</v>
      </c>
      <c r="K299">
        <f>Table1[[#This Row],[Revenue]]-Table1[[#This Row],[Cost]]</f>
        <v>79095</v>
      </c>
      <c r="L299" s="1">
        <f>Table1[[#This Row],[profit]]/Table1[[#This Row],[Revenue]]</f>
        <v>0.29978964125305591</v>
      </c>
    </row>
    <row r="300" spans="1:12" x14ac:dyDescent="0.35">
      <c r="A300" t="s">
        <v>53</v>
      </c>
      <c r="B300" t="str">
        <f t="shared" si="4"/>
        <v>January</v>
      </c>
      <c r="C300" t="s">
        <v>10</v>
      </c>
      <c r="D300" t="s">
        <v>11</v>
      </c>
      <c r="E300" t="s">
        <v>16</v>
      </c>
      <c r="F300" t="s">
        <v>13</v>
      </c>
      <c r="G300">
        <v>123</v>
      </c>
      <c r="H300">
        <v>272814</v>
      </c>
      <c r="I300">
        <v>220364</v>
      </c>
      <c r="J300">
        <v>507</v>
      </c>
      <c r="K300">
        <f>Table1[[#This Row],[Revenue]]-Table1[[#This Row],[Cost]]</f>
        <v>52450</v>
      </c>
      <c r="L300" s="1">
        <f>Table1[[#This Row],[profit]]/Table1[[#This Row],[Revenue]]</f>
        <v>0.19225552940831483</v>
      </c>
    </row>
    <row r="301" spans="1:12" x14ac:dyDescent="0.35">
      <c r="A301" t="s">
        <v>64</v>
      </c>
      <c r="B301" t="str">
        <f t="shared" si="4"/>
        <v>February</v>
      </c>
      <c r="C301" t="s">
        <v>19</v>
      </c>
      <c r="D301" t="s">
        <v>11</v>
      </c>
      <c r="E301" t="s">
        <v>20</v>
      </c>
      <c r="F301" t="s">
        <v>13</v>
      </c>
      <c r="G301">
        <v>189</v>
      </c>
      <c r="H301">
        <v>289737</v>
      </c>
      <c r="I301">
        <v>217103</v>
      </c>
      <c r="J301">
        <v>888</v>
      </c>
      <c r="K301">
        <f>Table1[[#This Row],[Revenue]]-Table1[[#This Row],[Cost]]</f>
        <v>72634</v>
      </c>
      <c r="L301" s="1">
        <f>Table1[[#This Row],[profit]]/Table1[[#This Row],[Revenue]]</f>
        <v>0.2506894183345586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475E5-2B89-42E0-8DC9-F28FA5F13F0F}">
  <dimension ref="A1:K34"/>
  <sheetViews>
    <sheetView showGridLines="0" tabSelected="1" zoomScale="70" zoomScaleNormal="70" workbookViewId="0">
      <selection activeCell="O16" sqref="O16"/>
    </sheetView>
  </sheetViews>
  <sheetFormatPr defaultRowHeight="14.5" x14ac:dyDescent="0.35"/>
  <cols>
    <col min="1" max="1" width="12.7265625" bestFit="1" customWidth="1"/>
    <col min="2" max="2" width="17.453125" bestFit="1" customWidth="1"/>
    <col min="3" max="3" width="12.7265625" bestFit="1" customWidth="1"/>
    <col min="4" max="4" width="14.26953125" bestFit="1" customWidth="1"/>
    <col min="5" max="5" width="12.7265625" bestFit="1" customWidth="1"/>
    <col min="6" max="6" width="19.453125" bestFit="1" customWidth="1"/>
    <col min="7" max="7" width="18.54296875" bestFit="1" customWidth="1"/>
    <col min="8" max="8" width="12.7265625" bestFit="1" customWidth="1"/>
    <col min="9" max="9" width="17.453125" bestFit="1" customWidth="1"/>
    <col min="10" max="10" width="12.7265625" bestFit="1" customWidth="1"/>
    <col min="11" max="11" width="17.453125" bestFit="1" customWidth="1"/>
    <col min="12" max="12" width="12.6328125" bestFit="1" customWidth="1"/>
    <col min="13" max="13" width="17" bestFit="1" customWidth="1"/>
  </cols>
  <sheetData>
    <row r="1" spans="3:9" ht="15" thickBot="1" x14ac:dyDescent="0.4">
      <c r="C1" s="20" t="s">
        <v>98</v>
      </c>
      <c r="E1" s="20" t="s">
        <v>95</v>
      </c>
      <c r="G1" s="20" t="s">
        <v>93</v>
      </c>
      <c r="I1" s="22" t="s">
        <v>97</v>
      </c>
    </row>
    <row r="2" spans="3:9" ht="15" thickBot="1" x14ac:dyDescent="0.4">
      <c r="C2" s="16">
        <v>75423591</v>
      </c>
      <c r="E2" s="21">
        <v>37260</v>
      </c>
      <c r="G2" s="21">
        <v>20778443</v>
      </c>
      <c r="I2" s="15">
        <v>0.27447363763031762</v>
      </c>
    </row>
    <row r="25" spans="1:11" ht="15" thickBot="1" x14ac:dyDescent="0.4"/>
    <row r="26" spans="1:11" ht="17.5" thickBot="1" x14ac:dyDescent="0.45">
      <c r="C26" s="29" t="s">
        <v>92</v>
      </c>
      <c r="D26" s="30"/>
      <c r="E26" s="31" t="s">
        <v>94</v>
      </c>
      <c r="F26" s="33"/>
      <c r="G26" s="32"/>
      <c r="H26" s="29" t="s">
        <v>89</v>
      </c>
      <c r="I26" s="30"/>
      <c r="J26" s="29" t="s">
        <v>90</v>
      </c>
      <c r="K26" s="30"/>
    </row>
    <row r="27" spans="1:11" ht="17.5" thickBot="1" x14ac:dyDescent="0.45">
      <c r="A27" s="31" t="s">
        <v>91</v>
      </c>
      <c r="B27" s="32"/>
      <c r="C27" s="2" t="s">
        <v>1</v>
      </c>
      <c r="D27" s="3" t="s">
        <v>93</v>
      </c>
      <c r="E27" s="2" t="s">
        <v>1</v>
      </c>
      <c r="F27" s="4" t="s">
        <v>95</v>
      </c>
      <c r="G27" s="5" t="s">
        <v>96</v>
      </c>
      <c r="H27" s="2" t="s">
        <v>1</v>
      </c>
      <c r="I27" s="3" t="s">
        <v>88</v>
      </c>
      <c r="J27" s="2" t="s">
        <v>3</v>
      </c>
      <c r="K27" s="3" t="s">
        <v>88</v>
      </c>
    </row>
    <row r="28" spans="1:11" ht="17.5" thickBot="1" x14ac:dyDescent="0.45">
      <c r="A28" s="2" t="s">
        <v>4</v>
      </c>
      <c r="B28" s="3" t="s">
        <v>88</v>
      </c>
      <c r="C28" s="6" t="s">
        <v>24</v>
      </c>
      <c r="D28" s="17">
        <v>3773930</v>
      </c>
      <c r="E28" s="6" t="s">
        <v>24</v>
      </c>
      <c r="F28" s="23">
        <v>6936</v>
      </c>
      <c r="G28" s="24">
        <v>37885</v>
      </c>
      <c r="H28" s="6" t="s">
        <v>24</v>
      </c>
      <c r="I28" s="10">
        <v>13865672</v>
      </c>
      <c r="J28" s="6" t="s">
        <v>29</v>
      </c>
      <c r="K28" s="17">
        <v>14206761</v>
      </c>
    </row>
    <row r="29" spans="1:11" ht="17" x14ac:dyDescent="0.4">
      <c r="A29" s="6" t="s">
        <v>30</v>
      </c>
      <c r="B29" s="17">
        <v>25396576</v>
      </c>
      <c r="C29" s="7" t="s">
        <v>19</v>
      </c>
      <c r="D29" s="18">
        <v>3698635</v>
      </c>
      <c r="E29" s="7" t="s">
        <v>19</v>
      </c>
      <c r="F29" s="25">
        <v>6687</v>
      </c>
      <c r="G29" s="26">
        <v>32344</v>
      </c>
      <c r="H29" s="7" t="s">
        <v>19</v>
      </c>
      <c r="I29" s="11">
        <v>13815115</v>
      </c>
      <c r="J29" s="7" t="s">
        <v>16</v>
      </c>
      <c r="K29" s="18">
        <v>23815098</v>
      </c>
    </row>
    <row r="30" spans="1:11" ht="17" x14ac:dyDescent="0.4">
      <c r="A30" s="7" t="s">
        <v>13</v>
      </c>
      <c r="B30" s="18">
        <v>21496955</v>
      </c>
      <c r="C30" s="7" t="s">
        <v>15</v>
      </c>
      <c r="D30" s="18">
        <v>3262706</v>
      </c>
      <c r="E30" s="7" t="s">
        <v>15</v>
      </c>
      <c r="F30" s="25">
        <v>6088</v>
      </c>
      <c r="G30" s="26">
        <v>26607</v>
      </c>
      <c r="H30" s="7" t="s">
        <v>15</v>
      </c>
      <c r="I30" s="11">
        <v>12315433</v>
      </c>
      <c r="J30" s="7" t="s">
        <v>12</v>
      </c>
      <c r="K30" s="18">
        <v>19699161</v>
      </c>
    </row>
    <row r="31" spans="1:11" ht="17.5" thickBot="1" x14ac:dyDescent="0.45">
      <c r="A31" s="8" t="s">
        <v>17</v>
      </c>
      <c r="B31" s="18">
        <v>28530060</v>
      </c>
      <c r="C31" s="7" t="s">
        <v>22</v>
      </c>
      <c r="D31" s="18">
        <v>3450545</v>
      </c>
      <c r="E31" s="7" t="s">
        <v>22</v>
      </c>
      <c r="F31" s="25">
        <v>6200</v>
      </c>
      <c r="G31" s="26">
        <v>29452</v>
      </c>
      <c r="H31" s="7" t="s">
        <v>22</v>
      </c>
      <c r="I31" s="11">
        <v>12313826</v>
      </c>
      <c r="J31" s="8" t="s">
        <v>20</v>
      </c>
      <c r="K31" s="18">
        <v>17702571</v>
      </c>
    </row>
    <row r="32" spans="1:11" ht="17.5" thickBot="1" x14ac:dyDescent="0.45">
      <c r="A32" s="9" t="s">
        <v>87</v>
      </c>
      <c r="B32" s="19">
        <v>75423591</v>
      </c>
      <c r="C32" s="7" t="s">
        <v>42</v>
      </c>
      <c r="D32" s="18">
        <v>3138835</v>
      </c>
      <c r="E32" s="7" t="s">
        <v>42</v>
      </c>
      <c r="F32" s="25">
        <v>5585</v>
      </c>
      <c r="G32" s="26">
        <v>26764</v>
      </c>
      <c r="H32" s="7" t="s">
        <v>42</v>
      </c>
      <c r="I32" s="11">
        <v>11163869</v>
      </c>
      <c r="J32" s="9" t="s">
        <v>87</v>
      </c>
      <c r="K32" s="19">
        <v>75423591</v>
      </c>
    </row>
    <row r="33" spans="3:9" ht="17.5" thickBot="1" x14ac:dyDescent="0.45">
      <c r="C33" s="8" t="s">
        <v>10</v>
      </c>
      <c r="D33" s="18">
        <v>3453792</v>
      </c>
      <c r="E33" s="8" t="s">
        <v>10</v>
      </c>
      <c r="F33" s="25">
        <v>5764</v>
      </c>
      <c r="G33" s="26">
        <v>27346</v>
      </c>
      <c r="H33" s="8" t="s">
        <v>10</v>
      </c>
      <c r="I33" s="11">
        <v>11949676</v>
      </c>
    </row>
    <row r="34" spans="3:9" ht="17.5" thickBot="1" x14ac:dyDescent="0.45">
      <c r="C34" s="9" t="s">
        <v>87</v>
      </c>
      <c r="D34" s="19">
        <v>20778443</v>
      </c>
      <c r="E34" s="9" t="s">
        <v>87</v>
      </c>
      <c r="F34" s="27">
        <v>37260</v>
      </c>
      <c r="G34" s="28">
        <v>180398</v>
      </c>
      <c r="H34" s="9" t="s">
        <v>87</v>
      </c>
      <c r="I34" s="19">
        <v>75423591</v>
      </c>
    </row>
  </sheetData>
  <mergeCells count="5">
    <mergeCell ref="H26:I26"/>
    <mergeCell ref="C26:D26"/>
    <mergeCell ref="J26:K26"/>
    <mergeCell ref="A27:B27"/>
    <mergeCell ref="E26:G26"/>
  </mergeCells>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D488E-6C36-489C-8B25-D43328E2FFD2}">
  <dimension ref="C2:F21"/>
  <sheetViews>
    <sheetView topLeftCell="B1" workbookViewId="0">
      <selection activeCell="C8" sqref="C8"/>
    </sheetView>
  </sheetViews>
  <sheetFormatPr defaultRowHeight="14.5" x14ac:dyDescent="0.35"/>
  <cols>
    <col min="3" max="3" width="82.6328125" bestFit="1" customWidth="1"/>
    <col min="4" max="4" width="7.6328125" bestFit="1" customWidth="1"/>
    <col min="5" max="5" width="13.26953125" bestFit="1" customWidth="1"/>
    <col min="6" max="6" width="15.1796875" bestFit="1" customWidth="1"/>
  </cols>
  <sheetData>
    <row r="2" spans="3:6" ht="15.5" x14ac:dyDescent="0.35">
      <c r="C2" s="12" t="s">
        <v>99</v>
      </c>
      <c r="D2" t="s">
        <v>1</v>
      </c>
      <c r="E2" t="s">
        <v>108</v>
      </c>
    </row>
    <row r="3" spans="3:6" ht="15.5" x14ac:dyDescent="0.35">
      <c r="C3" s="12" t="s">
        <v>100</v>
      </c>
      <c r="D3" t="s">
        <v>24</v>
      </c>
      <c r="E3">
        <v>13865672</v>
      </c>
    </row>
    <row r="4" spans="3:6" ht="15.5" x14ac:dyDescent="0.35">
      <c r="C4" s="12" t="s">
        <v>101</v>
      </c>
      <c r="D4" t="s">
        <v>19</v>
      </c>
      <c r="E4">
        <v>13815115</v>
      </c>
    </row>
    <row r="5" spans="3:6" x14ac:dyDescent="0.35">
      <c r="C5" s="13" t="s">
        <v>106</v>
      </c>
      <c r="D5" t="s">
        <v>15</v>
      </c>
      <c r="E5">
        <v>12315433</v>
      </c>
    </row>
    <row r="6" spans="3:6" x14ac:dyDescent="0.35">
      <c r="C6" t="s">
        <v>111</v>
      </c>
      <c r="D6" t="s">
        <v>22</v>
      </c>
      <c r="E6">
        <v>12313826</v>
      </c>
    </row>
    <row r="7" spans="3:6" x14ac:dyDescent="0.35">
      <c r="D7" t="s">
        <v>42</v>
      </c>
      <c r="E7">
        <v>11163869</v>
      </c>
    </row>
    <row r="8" spans="3:6" x14ac:dyDescent="0.35">
      <c r="D8" t="s">
        <v>10</v>
      </c>
      <c r="E8">
        <v>11949676</v>
      </c>
    </row>
    <row r="10" spans="3:6" ht="15.5" x14ac:dyDescent="0.35">
      <c r="C10" s="12" t="s">
        <v>102</v>
      </c>
      <c r="D10" t="s">
        <v>4</v>
      </c>
      <c r="E10" t="s">
        <v>6</v>
      </c>
    </row>
    <row r="11" spans="3:6" ht="15.5" x14ac:dyDescent="0.35">
      <c r="C11" s="12" t="s">
        <v>100</v>
      </c>
      <c r="D11" t="s">
        <v>30</v>
      </c>
      <c r="E11">
        <v>25396576</v>
      </c>
    </row>
    <row r="12" spans="3:6" ht="15.5" x14ac:dyDescent="0.35">
      <c r="C12" s="12" t="s">
        <v>103</v>
      </c>
      <c r="D12" t="s">
        <v>13</v>
      </c>
      <c r="E12">
        <v>21496955</v>
      </c>
    </row>
    <row r="13" spans="3:6" x14ac:dyDescent="0.35">
      <c r="C13" s="13" t="s">
        <v>110</v>
      </c>
      <c r="D13" t="s">
        <v>17</v>
      </c>
      <c r="E13">
        <v>28530060</v>
      </c>
    </row>
    <row r="15" spans="3:6" ht="15.5" x14ac:dyDescent="0.35">
      <c r="C15" s="12" t="s">
        <v>104</v>
      </c>
      <c r="D15" t="s">
        <v>1</v>
      </c>
      <c r="E15" t="s">
        <v>109</v>
      </c>
      <c r="F15" t="s">
        <v>96</v>
      </c>
    </row>
    <row r="16" spans="3:6" ht="15.5" x14ac:dyDescent="0.35">
      <c r="C16" s="12" t="s">
        <v>100</v>
      </c>
      <c r="D16" t="s">
        <v>24</v>
      </c>
      <c r="E16">
        <v>6936</v>
      </c>
      <c r="F16">
        <v>37885</v>
      </c>
    </row>
    <row r="17" spans="3:6" ht="15.5" x14ac:dyDescent="0.35">
      <c r="C17" s="12" t="s">
        <v>101</v>
      </c>
      <c r="D17" t="s">
        <v>19</v>
      </c>
      <c r="E17">
        <v>6687</v>
      </c>
      <c r="F17">
        <v>32344</v>
      </c>
    </row>
    <row r="18" spans="3:6" x14ac:dyDescent="0.35">
      <c r="C18" s="13" t="s">
        <v>107</v>
      </c>
      <c r="D18" t="s">
        <v>15</v>
      </c>
      <c r="E18">
        <v>6088</v>
      </c>
      <c r="F18">
        <v>26607</v>
      </c>
    </row>
    <row r="19" spans="3:6" x14ac:dyDescent="0.35">
      <c r="C19" s="13"/>
      <c r="D19" t="s">
        <v>22</v>
      </c>
      <c r="E19">
        <v>6200</v>
      </c>
      <c r="F19">
        <v>29452</v>
      </c>
    </row>
    <row r="20" spans="3:6" ht="15.5" x14ac:dyDescent="0.35">
      <c r="C20" s="14" t="s">
        <v>105</v>
      </c>
      <c r="D20" t="s">
        <v>42</v>
      </c>
      <c r="E20">
        <v>5585</v>
      </c>
      <c r="F20">
        <v>26764</v>
      </c>
    </row>
    <row r="21" spans="3:6" x14ac:dyDescent="0.35">
      <c r="D21" t="s">
        <v>10</v>
      </c>
      <c r="E21">
        <v>5764</v>
      </c>
      <c r="F21">
        <v>27346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Cleaned Data</vt:lpstr>
      <vt:lpstr>Pivot Report</vt:lpstr>
      <vt:lpstr>SQL Queries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Shubham Chougule</cp:lastModifiedBy>
  <dcterms:created xsi:type="dcterms:W3CDTF">2026-04-08T04:36:50Z</dcterms:created>
  <dcterms:modified xsi:type="dcterms:W3CDTF">2026-05-28T09:55:30Z</dcterms:modified>
</cp:coreProperties>
</file>